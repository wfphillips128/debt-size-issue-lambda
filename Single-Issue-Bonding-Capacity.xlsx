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DCA4864-8CD5-4817-ADA5-F6F7952247E3}" xr6:coauthVersionLast="47" xr6:coauthVersionMax="47" xr10:uidLastSave="{00000000-0000-0000-0000-000000000000}"/>
  <bookViews>
    <workbookView xWindow="38290" yWindow="-110" windowWidth="38620" windowHeight="21100" xr2:uid="{FF680310-9A50-6B4A-AC90-F1931ACC690E}"/>
  </bookViews>
  <sheets>
    <sheet name="Bond Model" sheetId="3" r:id="rId1"/>
  </sheets>
  <definedNames>
    <definedName name="BondDate">_xlfn.ANCHORARRAY('Bond Model'!$F$46)</definedName>
    <definedName name="BondIssuance">'Bond Model'!$D$7</definedName>
    <definedName name="BondType">_xlfn.ANCHORARRAY('Bond Model'!$F$42)</definedName>
    <definedName name="fx.DebtSizeIssueλ">_xlfn.LAMBDA(_xlop.CFADS,_xlop.DSCR,_xlop.COUPON,_xlop.DBTRSVPCT,_xlop.DBTRSVRATE,_xlop.ParValueIncr,_xlop.MONTHS,_xlop.MATURITY,_xlop.LastPayoffDate,_xlop.Lo,_xlop.Hi,_xlop.Iter, _xlfn.LET( _xlpm.Help, TRIM(_xlfn.TEXTSPLIT( "FUNCTION:          →fx.DebtSizeIssueλ(CFADS, DSCR, COUPON, DBTRSVPCT,¶" &amp; "                   →DBTRSVRATE, ParValueIncr, MONTHS, [MATURITY],¶" &amp; "                   →[LastPayoffDate])¶" &amp; "DESCRIPTION:       →Sizes a new serial debt issuance to a coverage test¶" &amp; "                   →Par is an OUTPUT - the sum of the sized maturities¶" &amp; "WEBPAGE:           →github.com/wfphillips128/debt-size-issue-lambda¶" &amp; "SUGGESTED ROW IDS: →Debt opening balance / Interest / Principal repaid /¶" &amp; "                   →Debt closing balance / Debt service / Reserve credit /¶" &amp; "                   →Net debt service¶" &amp; "VERSION:           →W Phillips, Sep-05-2026¶" &amp; "PARAMETERS:→¶" &amp; "CFADS              →(Required) Cash available for debt service, per period¶" &amp; "DSCR               →(Required) Debt service coverage ratio, per period¶" &amp; "COUPON             →(Required) Coupon on the tranche MATURING in each period¶" &amp; "→ - a curve, not one rate on the balance. Flat is fine.¶" &amp; "DBTRSVPCT          →(Required) Reserve as a % of MAXIMUM ANNUAL debt service¶" &amp; "→ 25% is a 3-of-12-months reserve. The largest is used.¶" &amp; "DBTRSVRATE         →(Required) Earnings rate credited on the reserve¶" &amp; "ParValueIncr       →(Required) Par rounding increment. 1 = none. Never 0.¶" &amp; "MONTHS             →(Required) Months of interest per period, eg. 10,12,12¶" &amp; "MATURITY           →(Optional) Maturity date of each period's tranche¶" &amp; "LastPayoffDate     →(Optional) Last date a maturity may fall on. Periods¶" &amp; "→ after it are not sized; the reserve releases at the last live one.¶" &amp; "Lo, Hi, Iter       →Internal - the bisection solver's state¶" &amp; "→¶" &amp; "EXAMPLE:           →=fx.DebtSizeIssueλ(M59#,M60#,M61#,M62#,M63#,M64#,M65#,M58#,PayoffDate)", "→", "¶")), _xlpm.ErrMsgs, {"CFADS must be a dynamic array holding cash available for debt service in each period";"DSCR must be a dynamic array holding the debt service coverage ratio for each period";"COUPON must be a dynamic array holding the coupon on the tranche maturing in each period";"DBTRSVPCT must be a dynamic array holding the reserve percentage for each period";"DBTRSVRATE must be a dynamic array holding the reserve earnings rate for each period";"ParValueIncr must be a dynamic array of par increments, every one greater than zero. Use 1 for no rounding";"MONTHS must be a dynamic array holding the months of interest accruing in each period";"MATURITY must be a dynamic array of maturity dates, the same width as CFADS"}, _xlpm.CFADS, IF(COLUMNS(_xlpm.CFADS) &lt;= 1, #VALUE!, _xlpm.CFADS), _xlpm.DSCR, IF(COLUMNS(_xlpm.DSCR) &lt;= 1, #VALUE!, _xlpm.DSCR), _xlpm.COUPON, IF(COLUMNS(_xlpm.COUPON) &lt;= 1, #VALUE!, _xlpm.COUPON), _xlpm.DBTRSVPCT, IF(COLUMNS(_xlpm.DBTRSVPCT) &lt;= 1, #VALUE!, _xlpm.DBTRSVPCT), _xlpm.DBTRSVRATE, IF(COLUMNS(_xlpm.DBTRSVRATE) &lt;= 1, #VALUE!, _xlpm.DBTRSVRATE), _xlpm.ParValueIncr, IF(OR(COLUMNS(_xlpm.ParValueIncr) &lt;= 1, MIN(_xlpm.ParValueIncr) &lt;= 0), #VALUE!, _xlpm.ParValueIncr), _xlpm.MONTHS, IF(COLUMNS(_xlpm.MONTHS) &lt;= 1, #VALUE!, _xlpm.MONTHS), _xlpm.Mat, IF(_xlfn.ISOMITTED(_xlpm.MATURITY), --(_xlpm.CFADS &lt;= 0), IF(COLUMNS(_xlpm.MATURITY) &lt;&gt; COLUMNS(_xlpm.CFADS), #VALUE!, _xlpm.MATURITY)), _xlpm.Pay, IF(_xlfn.ISOMITTED(_xlpm.MATURITY), 0, IF(_xlfn.ISOMITTED(_xlpm.LastPayoffDate), MAX(_xlpm.Mat), _xlpm.LastPayoffDate)), _xlpm.Errors, _xlfn.VSTACK(OR(ISERROR(_xlpm.CFADS)), OR(ISERROR(_xlpm.DSCR)), OR(ISERROR(_xlpm.COUPON)), OR(ISERROR(_xlpm.DBTRSVPCT)), OR(ISERROR(_xlpm.DBTRSVRATE)), OR(ISERROR(_xlpm.ParValueIncr)), OR(ISERROR(_xlpm.MONTHS)), OR(ISERROR(_xlpm.Mat))), _xlpm.Messages, _xlfn._xlws.FILTER(_xlpm.ErrMsgs, _xlpm.Errors, ""), _xlpm.Periods, COLUMNS(_xlpm.CFADS), _xlpm.Idx, _xlfn.SEQUENCE(1, _xlpm.Periods), _xlpm.RsvPct, MAX(_xlpm.DBTRSVPCT), _xlpm.Live, --(_xlpm.Mat &lt;= _xlpm.Pay), _xlpm.LastLive, MAX(_xlpm.Live * _xlpm.Idx), _xlpm.Creditλ, _xlfn.LAMBDA(_xlpm.res, _xlpm.res * _xlpm.DBTRSVRATE * _xlpm.MONTHS / 12 * _xlpm.Live + _xlpm.res * (_xlpm.Idx = _xlpm.LastLive)), _xlpm.CoupRemλ, _xlfn.LAMBDA(_xlpm.tc,_xlpm.res, _xlfn.LET( _xlpm.Cr, _xlpm.Creditλ(_xlpm.res), _xlfn.SCAN(_xlpm.tc, _xlpm.Idx, _xlfn.LAMBDA(_xlpm.rem,_xlpm.y, _xlfn.LET( _xlpm.Target, INDEX(_xlpm.CFADS, 1, _xlpm.y) / INDEX(_xlpm.DSCR, 1, _xlpm.y) * INDEX(_xlpm.Live, 1, _xlpm.y), _xlpm.Intr, _xlpm.rem * INDEX(_xlpm.MONTHS, 1, _xlpm.y) / 12, _xlpm.Princ, FLOOR(MAX(0, _xlpm.Target - _xlpm.Intr + INDEX(_xlpm.Cr, 1, _xlpm.y)) * INDEX(_xlpm.Live, 1, _xlpm.y), INDEX(_xlpm.ParValueIncr, 1, _xlpm.y)), _xlpm.rem - _xlpm.Princ * INDEX(_xlpm.COUPON, 1, _xlpm.y) ))) )), _xlpm.Partsλ, _xlfn.LAMBDA(_xlpm.tc,_xlpm.res, _xlfn.LET( _xlpm.Aft, _xlpm.CoupRemλ(_xlpm.tc, _xlpm.res), _xlpm.Bef, _xlfn.HSTACK(_xlpm.tc, _xlfn.DROP(_xlpm.Aft, , -1)), _xlpm.Intr, _xlpm.Bef * _xlpm.MONTHS / 12, _xlpm.Raw, _xlpm.CFADS / _xlpm.DSCR * _xlpm.Live - _xlpm.Intr + _xlpm.Creditλ(_xlpm.res), _xlpm.Prin, FLOOR(IF(_xlpm.Raw &lt; 0, 0, _xlpm.Raw) * _xlpm.Live, _xlpm.ParValueIncr), _xlfn.VSTACK(_xlpm.Prin, _xlpm.Intr) )), _xlpm.Finalλ, _xlfn.LAMBDA(_xlpm.parts, _xlfn.LET( _xlpm.Prin, INDEX(_xlpm.parts, 1, 0), _xlpm.TrueTC, SUM(_xlpm.Prin * _xlpm.COUPON), _xlpm.Par, SUM(_xlpm.Prin), _xlpm.Cum, _xlfn.SCAN(0, _xlpm.Idx, _xlfn.LAMBDA(_xlpm.a,_xlpm.y, _xlpm.a + INDEX(_xlpm.Prin, 1, _xlpm.y))), _xlpm.ClEnd, _xlpm.Par - _xlpm.Cum, _xlpm.OpEnd, _xlfn.HSTACK(_xlpm.Par, _xlfn.DROP(_xlpm.ClEnd, , -1)), _xlpm.CumC, _xlfn.SCAN(0, _xlpm.Idx, _xlfn.LAMBDA(_xlpm.a,_xlpm.y, _xlpm.a + INDEX(_xlpm.Prin, 1, _xlpm.y) * INDEX(_xlpm.COUPON, 1, _xlpm.y))), _xlpm.RemBef, _xlpm.TrueTC - _xlfn.HSTACK(0, _xlfn.DROP(_xlpm.CumC, , -1)), _xlpm.IntEnd, _xlpm.RemBef * _xlpm.MONTHS / 12, _xlpm.RsvEnd, MAX(_xlpm.Prin + _xlpm.IntEnd) * _xlpm.RsvPct, _xlpm.CrEnd, _xlpm.Creditλ(_xlpm.RsvEnd), _xlfn.VSTACK(_xlpm.OpEnd, _xlpm.IntEnd, -_xlpm.Prin, _xlpm.ClEnd, _xlpm.Prin + _xlpm.IntEnd, -_xlpm.CrEnd, _xlpm.Prin + _xlpm.IntEnd - _xlpm.CrEnd) )), _xlpm.LoB, IF(_xlfn.ISOMITTED(_xlpm.Lo), 0, _xlpm.Lo), _xlpm.HiB, IF(_xlfn.ISOMITTED(_xlpm.Hi), SUM(_xlpm.CFADS * _xlpm.Live) / MIN(_xlpm.DSCR) * MAX(_xlpm.COUPON), _xlpm.Hi), _xlpm.Step, IF(_xlfn.ISOMITTED(_xlpm.Iter), -12, _xlpm.Iter), _xlpm.Mid, (_xlpm.LoB + _xlpm.HiB) / 2, _xlpm.Solveλ, _xlfn.LAMBDA(_xlpm.tc, _xlfn.LET(_xlpm.Rsv, _xlfn.REDUCE(0, _xlfn.SEQUENCE(1, 12), _xlfn.LAMBDA(_xlpm.r,_xlpm.ignore, _xlfn.LET(_xlpm.P, _xlpm.Partsλ(_xlpm.tc, _xlpm.r), MAX(INDEX(_xlpm.P, 1, 0) + INDEX(_xlpm.P, 2, 0)) * _xlpm.RsvPct))), _xlpm.Partsλ(_xlpm.tc, _xlpm.Rsv))), _xlpm.Grow, _xlpm.Step &lt; 0, _xlpm.Probe, IF(_xlpm.Grow, _xlpm.HiB, _xlpm.Mid), _xlpm.Parts, _xlpm.Solveλ(_xlpm.Probe), _xlpm.Residual, SUM(INDEX(_xlpm.Parts, 1, 0) * _xlpm.COUPON) - _xlpm.Probe, _xlpm.Up, _xlpm.Residual &gt;= 0, _xlpm.NxtLo, IF(_xlpm.Up, IF(_xlpm.Grow, _xlpm.LoB, _xlpm.Mid), _xlpm.LoB), _xlpm.NxtHi, IF(_xlpm.Up, IF(_xlpm.Grow, _xlpm.HiB * 2, _xlpm.HiB), IF(_xlpm.Grow, _xlpm.HiB, _xlpm.Mid)), _xlpm.NxtIt, IF(_xlpm.Up, _xlpm.Step + 1, IF(_xlpm.Grow, 1, _xlpm.Step + 1)), _xlpm.Result, IF(_xlpm.Step &gt;= 50, _xlpm.Finalλ(_xlpm.Solveλ(_xlpm.HiB)), fx.DebtSizeIssueλ(_xlpm.CFADS, _xlpm.DSCR, _xlpm.COUPON, _xlpm.DBTRSVPCT, _xlpm.DBTRSVRATE, _xlpm.ParValueIncr, _xlpm.MONTHS, _xlpm.Mat, _xlpm.Pay, _xlpm.NxtLo, _xlpm.NxtHi, _xlpm.NxtIt)), _xlpm.Return, IF(AND(_xlpm.Errors), 2, IF(OR(_xlpm.Errors), 3, IF(OR(ISERROR(_xlpm.Result)), 2, 1))), _xlpm.Output, CHOOSE(_xlpm.Return, _xlpm.Result, _xlpm.Help, _xlpm.Messages), _xlpm.Output ) )</definedName>
    <definedName name="LastPayoffDate">'Bond Model'!$C$34</definedName>
    <definedName name="MaxDeliveryDate">'Bond Model'!$C$32</definedName>
    <definedName name="MaxPayoffDate">'Bond Model'!$C$33</definedName>
    <definedName name="Num_Periods">'Bond Model'!$D$43</definedName>
    <definedName name="_xlnm.Print_Area" localSheetId="0">'Bond Model'!$B$3:$U$37</definedName>
    <definedName name="PV_Increment">'Bond Model'!$D$42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0" i="3" l="1" a="1"/>
  <c r="K80" i="3" s="1"/>
  <c r="O46" i="3" l="1" a="1"/>
  <c r="O46" i="3" s="1"/>
  <c r="T46" i="3"/>
  <c r="B3" i="3"/>
  <c r="P46" i="3" a="1"/>
  <c r="P46" i="3" s="1"/>
  <c r="S54" i="3"/>
  <c r="S53" i="3"/>
  <c r="S52" i="3"/>
  <c r="S51" i="3"/>
  <c r="S50" i="3"/>
  <c r="S49" i="3"/>
  <c r="S48" i="3"/>
  <c r="S47" i="3"/>
  <c r="S46" i="3"/>
  <c r="D43" i="3"/>
  <c r="F46" i="3" s="1" a="1"/>
  <c r="F46" i="3" s="1"/>
  <c r="C33" i="3"/>
  <c r="B46" i="3" l="1" a="1"/>
  <c r="B46" i="3" s="1"/>
  <c r="C46" i="3" s="1" a="1"/>
  <c r="C46" i="3" s="1"/>
  <c r="F42" i="3" a="1"/>
  <c r="F42" i="3" s="1"/>
  <c r="I18" i="3" a="1"/>
  <c r="C19" i="3" a="1"/>
  <c r="C19" i="3" l="1"/>
  <c r="B19" i="3" s="1"/>
  <c r="C34" i="3" a="1"/>
  <c r="C34" i="3" s="1"/>
  <c r="R33" i="3" s="1"/>
  <c r="M46" i="3" a="1"/>
  <c r="I18" i="3"/>
  <c r="B20" i="3"/>
  <c r="B21" i="3"/>
  <c r="B22" i="3"/>
  <c r="B23" i="3"/>
  <c r="B25" i="3"/>
  <c r="B26" i="3"/>
  <c r="B24" i="3"/>
  <c r="B27" i="3"/>
  <c r="F27" i="3"/>
  <c r="F26" i="3"/>
  <c r="F25" i="3"/>
  <c r="F24" i="3"/>
  <c r="F23" i="3"/>
  <c r="F22" i="3"/>
  <c r="F21" i="3"/>
  <c r="F20" i="3"/>
  <c r="F19" i="3"/>
  <c r="O11" i="3"/>
  <c r="J33" i="3" l="1" a="1"/>
  <c r="J33" i="3" s="1"/>
  <c r="W33" i="3"/>
  <c r="J21" i="3" a="1"/>
  <c r="J21" i="3" s="1"/>
  <c r="R32" i="3"/>
  <c r="N35" i="3"/>
  <c r="T35" i="3"/>
  <c r="J31" i="3" a="1"/>
  <c r="J31" i="3" s="1"/>
  <c r="R34" i="3"/>
  <c r="W35" i="3"/>
  <c r="J27" i="3" a="1"/>
  <c r="J27" i="3" s="1"/>
  <c r="T33" i="3"/>
  <c r="R35" i="3"/>
  <c r="W32" i="3"/>
  <c r="W34" i="3"/>
  <c r="J19" i="3" a="1"/>
  <c r="J19" i="3" s="1"/>
  <c r="J29" i="3" a="1"/>
  <c r="J29" i="3" s="1"/>
  <c r="J35" i="3" a="1"/>
  <c r="J35" i="3" s="1"/>
  <c r="J23" i="3" a="1"/>
  <c r="J23" i="3" s="1"/>
  <c r="N33" i="3"/>
  <c r="J25" i="3" a="1"/>
  <c r="J25" i="3" s="1"/>
  <c r="K19" i="3" a="1"/>
  <c r="K19" i="3" s="1"/>
  <c r="L19" i="3" a="1"/>
  <c r="L19" i="3" s="1"/>
  <c r="L33" i="3" a="1"/>
  <c r="L33" i="3" s="1"/>
  <c r="K21" i="3" a="1"/>
  <c r="K21" i="3" s="1"/>
  <c r="K25" i="3" a="1"/>
  <c r="K25" i="3" s="1"/>
  <c r="K33" i="3" a="1"/>
  <c r="K33" i="3" s="1"/>
  <c r="L25" i="3" a="1"/>
  <c r="L25" i="3" s="1"/>
  <c r="K35" i="3" a="1"/>
  <c r="K35" i="3" s="1"/>
  <c r="L21" i="3" a="1"/>
  <c r="L21" i="3" s="1"/>
  <c r="L31" i="3" a="1"/>
  <c r="L31" i="3" s="1"/>
  <c r="K23" i="3" a="1"/>
  <c r="K23" i="3" s="1"/>
  <c r="L29" i="3" a="1"/>
  <c r="L29" i="3" s="1"/>
  <c r="L23" i="3" a="1"/>
  <c r="L23" i="3" s="1"/>
  <c r="K27" i="3" a="1"/>
  <c r="K27" i="3" s="1"/>
  <c r="L27" i="3" a="1"/>
  <c r="L27" i="3" s="1"/>
  <c r="M46" i="3"/>
  <c r="N46" i="3" a="1"/>
  <c r="N46" i="3" s="1"/>
  <c r="K31" i="3" a="1"/>
  <c r="K31" i="3" s="1"/>
  <c r="L35" i="3" a="1"/>
  <c r="L35" i="3" s="1"/>
  <c r="K29" i="3" a="1"/>
  <c r="K29" i="3" s="1"/>
  <c r="R46" i="3" l="1" a="1"/>
  <c r="R46" i="3" s="1"/>
  <c r="Q46" i="3" a="1"/>
  <c r="Q46" i="3" s="1"/>
  <c r="M19" i="3"/>
  <c r="M58" i="3" l="1" a="1"/>
  <c r="M21" i="3"/>
  <c r="M58" i="3" l="1"/>
  <c r="M68" i="3" a="1"/>
  <c r="M68" i="3" s="1"/>
  <c r="M23" i="3"/>
  <c r="O19" i="3" l="1"/>
  <c r="N19" i="3" s="1"/>
  <c r="O25" i="3"/>
  <c r="O35" i="3"/>
  <c r="O29" i="3"/>
  <c r="Y74" i="3"/>
  <c r="O21" i="3"/>
  <c r="N21" i="3" s="1"/>
  <c r="O23" i="3"/>
  <c r="N23" i="3" s="1"/>
  <c r="O31" i="3"/>
  <c r="O27" i="3"/>
  <c r="O33" i="3"/>
  <c r="Y70" i="3"/>
  <c r="Y69" i="3"/>
  <c r="Y72" i="3"/>
  <c r="Y73" i="3"/>
  <c r="M25" i="3"/>
  <c r="N25" i="3" l="1"/>
  <c r="M27" i="3"/>
  <c r="N27" i="3" s="1"/>
  <c r="M29" i="3" l="1"/>
  <c r="N29" i="3" s="1"/>
  <c r="M31" i="3" l="1"/>
  <c r="N31" i="3" s="1"/>
  <c r="M33" i="3" l="1"/>
  <c r="J17" i="3" l="1"/>
  <c r="M35" i="3"/>
  <c r="X21" i="3" l="1"/>
  <c r="X33" i="3"/>
  <c r="X29" i="3" l="1"/>
  <c r="O17" i="3"/>
  <c r="O12" i="3" s="1"/>
  <c r="X31" i="3"/>
  <c r="X23" i="3"/>
  <c r="X25" i="3"/>
  <c r="X35" i="3"/>
  <c r="X27" i="3"/>
  <c r="X19" i="3"/>
  <c r="O4" i="3" l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Y31" i="3"/>
  <c r="P31" i="3" s="1"/>
  <c r="Y23" i="3"/>
  <c r="P23" i="3" s="1"/>
  <c r="Y19" i="3"/>
  <c r="P19" i="3" s="1"/>
  <c r="X17" i="3"/>
  <c r="Y18" i="3"/>
  <c r="Y26" i="3"/>
  <c r="P26" i="3" s="1"/>
  <c r="Y27" i="3"/>
  <c r="P27" i="3" s="1"/>
  <c r="Y25" i="3"/>
  <c r="P25" i="3" s="1"/>
  <c r="Y21" i="3"/>
  <c r="P21" i="3" s="1"/>
  <c r="Y24" i="3"/>
  <c r="P24" i="3" s="1"/>
  <c r="Y35" i="3"/>
  <c r="P35" i="3" s="1"/>
  <c r="Y34" i="3"/>
  <c r="P34" i="3" s="1"/>
  <c r="N17" i="3"/>
  <c r="O5" i="3" s="1"/>
  <c r="Y28" i="3"/>
  <c r="P28" i="3" s="1"/>
  <c r="Y20" i="3"/>
  <c r="P20" i="3" s="1"/>
  <c r="Y22" i="3"/>
  <c r="P22" i="3" s="1"/>
  <c r="Q23" i="3" s="1"/>
  <c r="Y30" i="3"/>
  <c r="P30" i="3" s="1"/>
  <c r="Q31" i="3" s="1"/>
  <c r="Y29" i="3"/>
  <c r="P29" i="3" s="1"/>
  <c r="Y32" i="3"/>
  <c r="P32" i="3" s="1"/>
  <c r="Y33" i="3"/>
  <c r="P33" i="3" s="1"/>
  <c r="O6" i="3" l="1"/>
  <c r="Q25" i="3"/>
  <c r="Q21" i="3"/>
  <c r="Q35" i="3"/>
  <c r="Q29" i="3"/>
  <c r="Q33" i="3"/>
  <c r="Q27" i="3"/>
  <c r="Y17" i="3"/>
  <c r="P18" i="3"/>
  <c r="P17" i="3" l="1"/>
  <c r="Q19" i="3"/>
  <c r="Q17" i="3" l="1"/>
  <c r="O10" i="3"/>
  <c r="R25" i="3" l="1"/>
  <c r="R22" i="3"/>
  <c r="R21" i="3"/>
  <c r="R19" i="3"/>
  <c r="R18" i="3"/>
  <c r="R27" i="3"/>
  <c r="R24" i="3"/>
  <c r="R23" i="3"/>
  <c r="R20" i="3"/>
  <c r="R31" i="3"/>
  <c r="R26" i="3"/>
  <c r="R30" i="3"/>
  <c r="R28" i="3"/>
  <c r="R29" i="3"/>
  <c r="O9" i="3"/>
  <c r="O13" i="3" s="1"/>
  <c r="S27" i="3" l="1"/>
  <c r="S31" i="3"/>
  <c r="T31" i="3" s="1"/>
  <c r="S19" i="3"/>
  <c r="T19" i="3" s="1"/>
  <c r="R17" i="3"/>
  <c r="S29" i="3"/>
  <c r="T29" i="3" s="1"/>
  <c r="S23" i="3"/>
  <c r="T23" i="3" s="1"/>
  <c r="S25" i="3"/>
  <c r="T25" i="3" s="1"/>
  <c r="S21" i="3"/>
  <c r="T21" i="3" s="1"/>
  <c r="S33" i="3"/>
  <c r="S35" i="3"/>
  <c r="U27" i="3" l="1"/>
  <c r="T27" i="3"/>
  <c r="U35" i="3"/>
  <c r="U33" i="3"/>
  <c r="U21" i="3"/>
  <c r="U25" i="3"/>
  <c r="U23" i="3"/>
  <c r="U29" i="3"/>
  <c r="S17" i="3"/>
  <c r="U17" i="3" s="1"/>
  <c r="U19" i="3"/>
  <c r="U31" i="3"/>
  <c r="T1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<sst xmlns="http://schemas.openxmlformats.org/spreadsheetml/2006/main" count="97" uniqueCount="92">
  <si>
    <t>GENERAL ASSUMPTIONS</t>
  </si>
  <si>
    <t>Bond Sources</t>
  </si>
  <si>
    <t>Bond Uses</t>
  </si>
  <si>
    <t>Par Amount</t>
  </si>
  <si>
    <t>Costs of Issuance</t>
  </si>
  <si>
    <t>Total:&gt;&gt;</t>
  </si>
  <si>
    <t>Liquidity Reserve</t>
  </si>
  <si>
    <t>UWD</t>
  </si>
  <si>
    <t>Interest Earnings on Liquidity Reserve</t>
  </si>
  <si>
    <t>Minimum Debt Service Coverage Ratio</t>
  </si>
  <si>
    <t>[A]</t>
  </si>
  <si>
    <t>[B]</t>
  </si>
  <si>
    <t>[C]</t>
  </si>
  <si>
    <t>[D]</t>
  </si>
  <si>
    <t>[F]</t>
  </si>
  <si>
    <t>[G]</t>
  </si>
  <si>
    <t>[I]</t>
  </si>
  <si>
    <t>Date</t>
  </si>
  <si>
    <t>Revenue
Constraint</t>
  </si>
  <si>
    <t>Principal</t>
  </si>
  <si>
    <t>Interest</t>
  </si>
  <si>
    <t>Annual
Debt Service</t>
  </si>
  <si>
    <t>Liquidity Reserve Activity</t>
  </si>
  <si>
    <t>Annual
NET Debt Service</t>
  </si>
  <si>
    <t>Unused
Revenues</t>
  </si>
  <si>
    <t>NET Debt Service Coverage</t>
  </si>
  <si>
    <t>INTEREST RATE ASSUMPTIONS (1, 2)</t>
  </si>
  <si>
    <t>Totals:&gt;&gt;</t>
  </si>
  <si>
    <t>Term (approx. years)</t>
  </si>
  <si>
    <t>Maturity</t>
  </si>
  <si>
    <t>(1) Credit ratings of Aa1/AA+/nr</t>
  </si>
  <si>
    <t>(2) Taxable interest rates as of 8/11/2025 with conservative credit spreads</t>
  </si>
  <si>
    <t>Yield</t>
  </si>
  <si>
    <t>Coupon</t>
  </si>
  <si>
    <t>Original Issue Premium (Discount)</t>
  </si>
  <si>
    <t>Price</t>
  </si>
  <si>
    <t>[E]</t>
  </si>
  <si>
    <t>[J]</t>
  </si>
  <si>
    <t>Beginning Principal</t>
  </si>
  <si>
    <t>Interest by Tranche per Period</t>
  </si>
  <si>
    <t>Interest by Period</t>
  </si>
  <si>
    <t>&lt;=== Select from drop down</t>
  </si>
  <si>
    <t>Net Original Issue Premium</t>
  </si>
  <si>
    <t>Delivery Date</t>
  </si>
  <si>
    <t>Liquidity Reserve (months)</t>
  </si>
  <si>
    <t>[H]</t>
  </si>
  <si>
    <t>[A - J = K]</t>
  </si>
  <si>
    <t>[A / J = L]</t>
  </si>
  <si>
    <t>Issue date</t>
  </si>
  <si>
    <t>First bond maturity date</t>
  </si>
  <si>
    <t>Months to first principal paydown</t>
  </si>
  <si>
    <t>BondDates</t>
  </si>
  <si>
    <t>&lt;=== Select from drop down. All other dates in the worksheet use dynamic array formulas</t>
  </si>
  <si>
    <t>PV_Increment</t>
  </si>
  <si>
    <t>Max Delivery Date</t>
  </si>
  <si>
    <t>Max Payoff Date</t>
  </si>
  <si>
    <t># of Periods</t>
  </si>
  <si>
    <t>CFADS</t>
  </si>
  <si>
    <t>DSCR</t>
  </si>
  <si>
    <t>MonthsPerPeriod</t>
  </si>
  <si>
    <t>Debt opening balance</t>
  </si>
  <si>
    <t>Principal repayments</t>
  </si>
  <si>
    <t>Debt closing balance</t>
  </si>
  <si>
    <t>Dates</t>
  </si>
  <si>
    <t>MONTHS</t>
  </si>
  <si>
    <t>COUPON</t>
  </si>
  <si>
    <t>Debt Reserve (months)</t>
  </si>
  <si>
    <t>Interest Earnings on Debt Reserve</t>
  </si>
  <si>
    <t>DBTRSVPCT</t>
  </si>
  <si>
    <t>DBTRSVRATE</t>
  </si>
  <si>
    <t>BondSizeIncrement</t>
  </si>
  <si>
    <t>ParValueIncrement</t>
  </si>
  <si>
    <t>Interest on principal balance</t>
  </si>
  <si>
    <t>Debt service</t>
  </si>
  <si>
    <t>Debt reserve credit</t>
  </si>
  <si>
    <t xml:space="preserve"> Net debt service</t>
  </si>
  <si>
    <t>1) Key Inputs for LAMBDA function:</t>
  </si>
  <si>
    <t>&lt;&lt;=== Feed this line into debt schedule</t>
  </si>
  <si>
    <t>3) Results of LAMBDA function:</t>
  </si>
  <si>
    <t>2) Dynamic Array which feeds the LAMBDA function:</t>
  </si>
  <si>
    <t>Revenue Constraint</t>
  </si>
  <si>
    <t>Taxable Coupon (by Tranche)</t>
  </si>
  <si>
    <t>Taxable Yield (by Tranche)</t>
  </si>
  <si>
    <t>Tax-Exempt Yield (by Tranche)</t>
  </si>
  <si>
    <t>Tax-Exempt Coupon (by Tranche)</t>
  </si>
  <si>
    <t xml:space="preserve"> which may be leveraged to avoid circular references via a LAMBDA formula.</t>
  </si>
  <si>
    <t>Tax-Exempt</t>
  </si>
  <si>
    <t>Last Payoff Date</t>
  </si>
  <si>
    <t>Proceeds to Issuer</t>
  </si>
  <si>
    <t>Bond Issuance Type</t>
  </si>
  <si>
    <t>Underwriter's Discount (per $1,000)</t>
  </si>
  <si>
    <t>Debt Capacity Based on Revenue Constraints from 2027-2035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</si>
</sst>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;@"/>
    <numFmt numFmtId="165" formatCode="_(&quot;$&quot;* #,##0_);_(&quot;$&quot;* \(#,##0\);_(&quot;$&quot;* &quot;-&quot;??_);_(@_)"/>
    <numFmt numFmtId="166" formatCode="0.000"/>
    <numFmt numFmtId="167" formatCode="0.000%"/>
    <numFmt numFmtId="168" formatCode="_(#,##0_);\(#,##0\);_(&quot;–&quot;_);_(@_)"/>
    <numFmt numFmtId="169" formatCode="_(#,##0.0%_);\(#,##0.0%\);_(#,##0.0%_);_(@_)"/>
    <numFmt numFmtId="170" formatCode="_(* #,##0_);_(* \(#,##0\);_(* &quot;-&quot;??_);_(@_)"/>
    <numFmt numFmtId="171" formatCode="_(#,##0.00_);\(#,##0.00\);_(&quot;–&quot;_);_(@_)"/>
    <numFmt numFmtId="172" formatCode="_(#,##0.0000%_);\(#,##0.0000%\);_(#,##0.0000%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i/>
      <sz val="11"/>
      <color theme="7" tint="-0.249977111117893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89A72"/>
        <bgColor indexed="64"/>
      </patternFill>
    </fill>
    <fill>
      <patternFill patternType="solid">
        <fgColor rgb="FFC0E6F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 style="mediumDashed">
        <color auto="1"/>
      </top>
      <bottom style="thin">
        <color indexed="64"/>
      </bottom>
      <diagonal/>
    </border>
    <border>
      <left/>
      <right/>
      <top style="mediumDashed">
        <color auto="1"/>
      </top>
      <bottom style="thin">
        <color indexed="64"/>
      </bottom>
      <diagonal/>
    </border>
    <border>
      <left/>
      <right style="mediumDashed">
        <color auto="1"/>
      </right>
      <top style="mediumDashed">
        <color auto="1"/>
      </top>
      <bottom style="thin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51">
    <xf numFmtId="0" fontId="0" fillId="0" borderId="0" xfId="0"/>
    <xf numFmtId="0" fontId="11" fillId="0" borderId="0" xfId="0" applyFont="1"/>
    <xf numFmtId="41" fontId="11" fillId="0" borderId="0" xfId="0" applyNumberFormat="1" applyFont="1" applyAlignment="1">
      <alignment horizontal="right"/>
    </xf>
    <xf numFmtId="41" fontId="12" fillId="0" borderId="0" xfId="0" applyNumberFormat="1" applyFont="1" applyAlignment="1">
      <alignment horizontal="right"/>
    </xf>
    <xf numFmtId="10" fontId="11" fillId="0" borderId="0" xfId="1" applyNumberFormat="1" applyFont="1" applyAlignment="1">
      <alignment horizontal="right"/>
    </xf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41" fontId="11" fillId="0" borderId="0" xfId="0" applyNumberFormat="1" applyFont="1"/>
    <xf numFmtId="165" fontId="11" fillId="0" borderId="0" xfId="0" applyNumberFormat="1" applyFont="1"/>
    <xf numFmtId="42" fontId="13" fillId="0" borderId="0" xfId="0" applyNumberFormat="1" applyFont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right" wrapText="1"/>
    </xf>
    <xf numFmtId="0" fontId="13" fillId="0" borderId="4" xfId="0" applyFont="1" applyBorder="1"/>
    <xf numFmtId="42" fontId="13" fillId="0" borderId="4" xfId="0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center"/>
    </xf>
    <xf numFmtId="0" fontId="11" fillId="0" borderId="0" xfId="0" quotePrefix="1" applyFont="1"/>
    <xf numFmtId="0" fontId="13" fillId="0" borderId="0" xfId="0" applyFont="1" applyAlignment="1">
      <alignment wrapText="1"/>
    </xf>
    <xf numFmtId="41" fontId="11" fillId="0" borderId="0" xfId="0" applyNumberFormat="1" applyFont="1" applyAlignment="1">
      <alignment wrapText="1"/>
    </xf>
    <xf numFmtId="41" fontId="13" fillId="0" borderId="0" xfId="0" applyNumberFormat="1" applyFont="1"/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1" fontId="11" fillId="2" borderId="0" xfId="0" applyNumberFormat="1" applyFont="1" applyFill="1" applyAlignment="1">
      <alignment horizontal="right"/>
    </xf>
    <xf numFmtId="167" fontId="11" fillId="2" borderId="0" xfId="1" applyNumberFormat="1" applyFont="1" applyFill="1" applyAlignment="1">
      <alignment horizontal="right"/>
    </xf>
    <xf numFmtId="41" fontId="11" fillId="2" borderId="0" xfId="0" applyNumberFormat="1" applyFont="1" applyFill="1"/>
    <xf numFmtId="41" fontId="11" fillId="2" borderId="0" xfId="0" applyNumberFormat="1" applyFont="1" applyFill="1" applyAlignment="1">
      <alignment wrapText="1"/>
    </xf>
    <xf numFmtId="0" fontId="11" fillId="0" borderId="4" xfId="0" applyFont="1" applyBorder="1"/>
    <xf numFmtId="166" fontId="11" fillId="2" borderId="0" xfId="1" applyNumberFormat="1" applyFont="1" applyFill="1" applyAlignment="1">
      <alignment horizontal="right"/>
    </xf>
    <xf numFmtId="167" fontId="11" fillId="0" borderId="0" xfId="1" applyNumberFormat="1" applyFont="1" applyFill="1" applyAlignment="1">
      <alignment horizontal="right"/>
    </xf>
    <xf numFmtId="166" fontId="11" fillId="0" borderId="0" xfId="1" applyNumberFormat="1" applyFont="1" applyFill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8" fillId="0" borderId="0" xfId="0" applyFont="1"/>
    <xf numFmtId="167" fontId="17" fillId="0" borderId="0" xfId="1" applyNumberFormat="1" applyFont="1" applyFill="1" applyAlignment="1">
      <alignment horizontal="center"/>
    </xf>
    <xf numFmtId="167" fontId="9" fillId="0" borderId="0" xfId="0" applyNumberFormat="1" applyFont="1"/>
    <xf numFmtId="165" fontId="17" fillId="3" borderId="0" xfId="0" applyNumberFormat="1" applyFont="1" applyFill="1"/>
    <xf numFmtId="44" fontId="17" fillId="3" borderId="0" xfId="0" applyNumberFormat="1" applyFont="1" applyFill="1"/>
    <xf numFmtId="0" fontId="9" fillId="0" borderId="0" xfId="0" applyFont="1" applyAlignment="1">
      <alignment horizontal="left"/>
    </xf>
    <xf numFmtId="43" fontId="8" fillId="0" borderId="0" xfId="2" applyFont="1" applyAlignment="1">
      <alignment horizontal="left"/>
    </xf>
    <xf numFmtId="43" fontId="11" fillId="0" borderId="0" xfId="0" applyNumberFormat="1" applyFont="1"/>
    <xf numFmtId="0" fontId="16" fillId="0" borderId="0" xfId="0" applyFont="1"/>
    <xf numFmtId="41" fontId="16" fillId="2" borderId="0" xfId="0" applyNumberFormat="1" applyFont="1" applyFill="1" applyAlignment="1">
      <alignment horizontal="right"/>
    </xf>
    <xf numFmtId="0" fontId="13" fillId="0" borderId="5" xfId="0" applyFont="1" applyBorder="1" applyAlignment="1">
      <alignment horizontal="right" wrapText="1"/>
    </xf>
    <xf numFmtId="0" fontId="7" fillId="0" borderId="0" xfId="0" applyFont="1" applyAlignment="1">
      <alignment horizontal="left"/>
    </xf>
    <xf numFmtId="168" fontId="13" fillId="0" borderId="0" xfId="0" applyNumberFormat="1" applyFont="1" applyAlignment="1">
      <alignment wrapText="1"/>
    </xf>
    <xf numFmtId="0" fontId="11" fillId="0" borderId="0" xfId="0" applyFont="1" applyAlignment="1">
      <alignment horizontal="right"/>
    </xf>
    <xf numFmtId="44" fontId="11" fillId="0" borderId="0" xfId="0" applyNumberFormat="1" applyFont="1"/>
    <xf numFmtId="0" fontId="11" fillId="0" borderId="4" xfId="0" applyFont="1" applyBorder="1" applyAlignment="1">
      <alignment horizontal="right"/>
    </xf>
    <xf numFmtId="0" fontId="11" fillId="5" borderId="0" xfId="0" applyFont="1" applyFill="1" applyAlignment="1">
      <alignment horizontal="right"/>
    </xf>
    <xf numFmtId="0" fontId="11" fillId="5" borderId="0" xfId="0" applyFont="1" applyFill="1"/>
    <xf numFmtId="0" fontId="13" fillId="5" borderId="0" xfId="0" applyFont="1" applyFill="1" applyAlignment="1">
      <alignment wrapText="1"/>
    </xf>
    <xf numFmtId="164" fontId="11" fillId="0" borderId="6" xfId="1" applyNumberFormat="1" applyFont="1" applyFill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0" fontId="13" fillId="0" borderId="3" xfId="0" applyFont="1" applyBorder="1" applyAlignment="1">
      <alignment horizontal="left" wrapText="1"/>
    </xf>
    <xf numFmtId="164" fontId="11" fillId="0" borderId="6" xfId="0" applyNumberFormat="1" applyFont="1" applyBorder="1" applyAlignment="1">
      <alignment horizontal="center"/>
    </xf>
    <xf numFmtId="164" fontId="11" fillId="2" borderId="7" xfId="0" applyNumberFormat="1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14" fontId="6" fillId="0" borderId="0" xfId="0" quotePrefix="1" applyNumberFormat="1" applyFont="1"/>
    <xf numFmtId="164" fontId="11" fillId="6" borderId="6" xfId="0" applyNumberFormat="1" applyFont="1" applyFill="1" applyBorder="1" applyAlignment="1">
      <alignment horizontal="center"/>
    </xf>
    <xf numFmtId="164" fontId="11" fillId="6" borderId="7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center"/>
    </xf>
    <xf numFmtId="0" fontId="17" fillId="3" borderId="6" xfId="0" applyFont="1" applyFill="1" applyBorder="1"/>
    <xf numFmtId="0" fontId="17" fillId="3" borderId="8" xfId="0" applyFont="1" applyFill="1" applyBorder="1"/>
    <xf numFmtId="41" fontId="17" fillId="6" borderId="0" xfId="0" applyNumberFormat="1" applyFont="1" applyFill="1"/>
    <xf numFmtId="0" fontId="13" fillId="0" borderId="15" xfId="0" applyFont="1" applyBorder="1"/>
    <xf numFmtId="168" fontId="17" fillId="3" borderId="0" xfId="0" applyNumberFormat="1" applyFont="1" applyFill="1" applyAlignment="1">
      <alignment horizontal="right"/>
    </xf>
    <xf numFmtId="169" fontId="17" fillId="3" borderId="0" xfId="1" applyNumberFormat="1" applyFont="1" applyFill="1" applyAlignment="1">
      <alignment horizontal="right"/>
    </xf>
    <xf numFmtId="0" fontId="5" fillId="0" borderId="0" xfId="0" applyFont="1"/>
    <xf numFmtId="41" fontId="4" fillId="0" borderId="0" xfId="0" applyNumberFormat="1" applyFont="1"/>
    <xf numFmtId="164" fontId="17" fillId="0" borderId="15" xfId="0" applyNumberFormat="1" applyFont="1" applyBorder="1" applyAlignment="1">
      <alignment horizontal="right"/>
    </xf>
    <xf numFmtId="41" fontId="3" fillId="0" borderId="0" xfId="0" applyNumberFormat="1" applyFont="1"/>
    <xf numFmtId="169" fontId="11" fillId="0" borderId="0" xfId="0" applyNumberFormat="1" applyFont="1"/>
    <xf numFmtId="169" fontId="11" fillId="2" borderId="0" xfId="0" applyNumberFormat="1" applyFont="1" applyFill="1"/>
    <xf numFmtId="169" fontId="11" fillId="0" borderId="0" xfId="0" applyNumberFormat="1" applyFont="1" applyAlignment="1">
      <alignment wrapText="1"/>
    </xf>
    <xf numFmtId="41" fontId="20" fillId="7" borderId="0" xfId="0" applyNumberFormat="1" applyFont="1" applyFill="1"/>
    <xf numFmtId="168" fontId="11" fillId="0" borderId="0" xfId="0" applyNumberFormat="1" applyFont="1"/>
    <xf numFmtId="168" fontId="9" fillId="0" borderId="0" xfId="0" applyNumberFormat="1" applyFont="1"/>
    <xf numFmtId="168" fontId="13" fillId="0" borderId="1" xfId="0" applyNumberFormat="1" applyFont="1" applyBorder="1"/>
    <xf numFmtId="168" fontId="11" fillId="0" borderId="0" xfId="0" applyNumberFormat="1" applyFont="1" applyAlignment="1">
      <alignment horizontal="left"/>
    </xf>
    <xf numFmtId="41" fontId="20" fillId="7" borderId="0" xfId="0" applyNumberFormat="1" applyFont="1" applyFill="1" applyAlignment="1">
      <alignment wrapText="1"/>
    </xf>
    <xf numFmtId="41" fontId="19" fillId="0" borderId="0" xfId="0" applyNumberFormat="1" applyFont="1"/>
    <xf numFmtId="0" fontId="19" fillId="0" borderId="0" xfId="0" applyFont="1" applyAlignment="1">
      <alignment horizontal="center"/>
    </xf>
    <xf numFmtId="169" fontId="13" fillId="0" borderId="4" xfId="0" applyNumberFormat="1" applyFont="1" applyBorder="1" applyAlignment="1">
      <alignment horizontal="right"/>
    </xf>
    <xf numFmtId="0" fontId="21" fillId="0" borderId="0" xfId="0" applyFont="1"/>
    <xf numFmtId="14" fontId="13" fillId="0" borderId="0" xfId="0" applyNumberFormat="1" applyFont="1" applyAlignment="1">
      <alignment wrapText="1"/>
    </xf>
    <xf numFmtId="0" fontId="2" fillId="0" borderId="0" xfId="0" applyFont="1"/>
    <xf numFmtId="168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1" fillId="0" borderId="0" xfId="0" applyFont="1"/>
    <xf numFmtId="41" fontId="1" fillId="0" borderId="0" xfId="0" applyNumberFormat="1" applyFont="1"/>
    <xf numFmtId="170" fontId="11" fillId="0" borderId="0" xfId="2" applyNumberFormat="1" applyFont="1"/>
    <xf numFmtId="170" fontId="11" fillId="0" borderId="0" xfId="0" applyNumberFormat="1" applyFont="1"/>
    <xf numFmtId="43" fontId="11" fillId="0" borderId="0" xfId="2" applyFont="1" applyFill="1"/>
    <xf numFmtId="170" fontId="11" fillId="0" borderId="0" xfId="2" applyNumberFormat="1" applyFont="1" applyFill="1"/>
    <xf numFmtId="43" fontId="0" fillId="0" borderId="0" xfId="2" applyFont="1" applyFill="1"/>
    <xf numFmtId="43" fontId="0" fillId="0" borderId="0" xfId="0" applyNumberFormat="1"/>
    <xf numFmtId="170" fontId="0" fillId="0" borderId="0" xfId="2" applyNumberFormat="1" applyFont="1" applyFill="1"/>
    <xf numFmtId="170" fontId="0" fillId="0" borderId="0" xfId="0" applyNumberFormat="1"/>
    <xf numFmtId="171" fontId="11" fillId="0" borderId="0" xfId="0" applyNumberFormat="1" applyFont="1"/>
    <xf numFmtId="168" fontId="11" fillId="4" borderId="9" xfId="0" applyNumberFormat="1" applyFont="1" applyFill="1" applyBorder="1"/>
    <xf numFmtId="168" fontId="11" fillId="0" borderId="16" xfId="0" applyNumberFormat="1" applyFont="1" applyBorder="1"/>
    <xf numFmtId="168" fontId="11" fillId="0" borderId="10" xfId="0" applyNumberFormat="1" applyFont="1" applyBorder="1"/>
    <xf numFmtId="168" fontId="11" fillId="0" borderId="11" xfId="0" applyNumberFormat="1" applyFont="1" applyBorder="1"/>
    <xf numFmtId="168" fontId="11" fillId="0" borderId="12" xfId="0" applyNumberFormat="1" applyFont="1" applyBorder="1"/>
    <xf numFmtId="168" fontId="11" fillId="0" borderId="13" xfId="0" applyNumberFormat="1" applyFont="1" applyBorder="1"/>
    <xf numFmtId="168" fontId="11" fillId="0" borderId="17" xfId="0" applyNumberFormat="1" applyFont="1" applyBorder="1"/>
    <xf numFmtId="168" fontId="11" fillId="0" borderId="14" xfId="0" applyNumberFormat="1" applyFont="1" applyBorder="1"/>
    <xf numFmtId="10" fontId="11" fillId="0" borderId="0" xfId="1" applyNumberFormat="1" applyFont="1" applyBorder="1"/>
    <xf numFmtId="0" fontId="22" fillId="0" borderId="0" xfId="0" applyFont="1"/>
    <xf numFmtId="164" fontId="13" fillId="0" borderId="18" xfId="0" applyNumberFormat="1" applyFont="1" applyBorder="1"/>
    <xf numFmtId="164" fontId="13" fillId="0" borderId="19" xfId="0" applyNumberFormat="1" applyFont="1" applyBorder="1"/>
    <xf numFmtId="164" fontId="13" fillId="0" borderId="20" xfId="0" applyNumberFormat="1" applyFont="1" applyBorder="1"/>
    <xf numFmtId="169" fontId="11" fillId="0" borderId="11" xfId="0" applyNumberFormat="1" applyFont="1" applyBorder="1"/>
    <xf numFmtId="169" fontId="11" fillId="0" borderId="12" xfId="0" applyNumberFormat="1" applyFont="1" applyBorder="1"/>
    <xf numFmtId="168" fontId="11" fillId="2" borderId="11" xfId="0" applyNumberFormat="1" applyFont="1" applyFill="1" applyBorder="1"/>
    <xf numFmtId="168" fontId="11" fillId="2" borderId="0" xfId="0" applyNumberFormat="1" applyFont="1" applyFill="1"/>
    <xf numFmtId="168" fontId="11" fillId="2" borderId="12" xfId="0" applyNumberFormat="1" applyFont="1" applyFill="1" applyBorder="1"/>
    <xf numFmtId="168" fontId="13" fillId="0" borderId="0" xfId="0" applyNumberFormat="1" applyFont="1"/>
    <xf numFmtId="42" fontId="13" fillId="0" borderId="3" xfId="0" applyNumberFormat="1" applyFont="1" applyBorder="1"/>
    <xf numFmtId="42" fontId="11" fillId="0" borderId="0" xfId="0" applyNumberFormat="1" applyFont="1"/>
    <xf numFmtId="0" fontId="11" fillId="0" borderId="9" xfId="0" applyFont="1" applyBorder="1"/>
    <xf numFmtId="0" fontId="11" fillId="0" borderId="19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164" fontId="11" fillId="0" borderId="11" xfId="0" applyNumberFormat="1" applyFont="1" applyBorder="1"/>
    <xf numFmtId="172" fontId="11" fillId="0" borderId="0" xfId="0" applyNumberFormat="1" applyFont="1"/>
    <xf numFmtId="169" fontId="2" fillId="0" borderId="0" xfId="0" applyNumberFormat="1" applyFont="1"/>
    <xf numFmtId="164" fontId="11" fillId="0" borderId="13" xfId="0" applyNumberFormat="1" applyFont="1" applyBorder="1"/>
    <xf numFmtId="169" fontId="11" fillId="0" borderId="17" xfId="0" applyNumberFormat="1" applyFont="1" applyBorder="1"/>
    <xf numFmtId="172" fontId="11" fillId="0" borderId="17" xfId="0" applyNumberFormat="1" applyFont="1" applyBorder="1"/>
    <xf numFmtId="10" fontId="11" fillId="0" borderId="17" xfId="1" applyNumberFormat="1" applyFont="1" applyBorder="1"/>
    <xf numFmtId="0" fontId="1" fillId="0" borderId="0" xfId="0" applyFont="1" applyAlignment="1">
      <alignment horizontal="left" indent="7"/>
    </xf>
    <xf numFmtId="42" fontId="16" fillId="0" borderId="0" xfId="0" applyNumberFormat="1" applyFont="1"/>
    <xf numFmtId="41" fontId="16" fillId="0" borderId="0" xfId="0" applyNumberFormat="1" applyFont="1"/>
    <xf numFmtId="41" fontId="20" fillId="0" borderId="0" xfId="0" applyNumberFormat="1" applyFont="1"/>
    <xf numFmtId="41" fontId="17" fillId="8" borderId="0" xfId="0" applyNumberFormat="1" applyFont="1" applyFill="1"/>
    <xf numFmtId="168" fontId="1" fillId="0" borderId="0" xfId="0" applyNumberFormat="1" applyFont="1"/>
    <xf numFmtId="0" fontId="1" fillId="0" borderId="0" xfId="0" applyFont="1" applyAlignment="1">
      <alignment horizontal="left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E6F5"/>
      <color rgb="FFFFFF99"/>
      <color rgb="FF289A7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3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FBDDA2-B8EA-4088-96C8-78D73387EFD7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B78641C-517C-4CD9-BBF8-3B5B7DB68D3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8EAD-F410-4EEA-BBF0-8E41F889689E}">
  <sheetPr>
    <pageSetUpPr fitToPage="1"/>
  </sheetPr>
  <dimension ref="B1:AI189"/>
  <sheetViews>
    <sheetView tabSelected="1" topLeftCell="A19" zoomScale="80" zoomScaleNormal="80" workbookViewId="0">
      <selection activeCell="K42" sqref="K42"/>
    </sheetView>
  </sheetViews>
  <sheetFormatPr defaultColWidth="11.453125" defaultRowHeight="14.5" x14ac:dyDescent="0.35"/>
  <cols>
    <col min="1" max="1" width="3.1796875" style="1" customWidth="1"/>
    <col min="2" max="3" width="16.6328125" style="1" customWidth="1"/>
    <col min="4" max="4" width="14.1796875" style="1" customWidth="1"/>
    <col min="5" max="7" width="13.6328125" style="1" customWidth="1"/>
    <col min="8" max="8" width="4.1796875" style="1" customWidth="1"/>
    <col min="9" max="9" width="12.81640625" style="1" customWidth="1"/>
    <col min="10" max="10" width="15.6328125" style="1" customWidth="1"/>
    <col min="11" max="12" width="12.6328125" style="1" customWidth="1"/>
    <col min="13" max="13" width="15.6328125" style="1" customWidth="1"/>
    <col min="14" max="14" width="16.6328125" style="1" customWidth="1"/>
    <col min="15" max="15" width="18.6328125" style="1" customWidth="1"/>
    <col min="16" max="19" width="17.6328125" style="1" customWidth="1"/>
    <col min="20" max="21" width="15.6328125" style="1" customWidth="1"/>
    <col min="22" max="22" width="7.6328125" style="1" customWidth="1"/>
    <col min="23" max="23" width="16.6328125" style="1" customWidth="1"/>
    <col min="24" max="24" width="15.6328125" style="1" customWidth="1"/>
    <col min="25" max="25" width="17.6328125" style="1" customWidth="1"/>
    <col min="26" max="26" width="7.6328125" style="1" customWidth="1"/>
    <col min="27" max="28" width="15.6328125" style="1" customWidth="1"/>
    <col min="29" max="16384" width="11.453125" style="1"/>
  </cols>
  <sheetData>
    <row r="1" spans="2:35" x14ac:dyDescent="0.35">
      <c r="J1" s="2"/>
      <c r="K1" s="2"/>
      <c r="L1" s="2"/>
      <c r="M1" s="2"/>
      <c r="N1" s="2"/>
      <c r="O1" s="2"/>
      <c r="P1" s="3"/>
      <c r="Q1" s="2"/>
      <c r="R1" s="2"/>
      <c r="S1" s="2"/>
      <c r="T1" s="2"/>
      <c r="U1" s="4"/>
    </row>
    <row r="2" spans="2:35" x14ac:dyDescent="0.35">
      <c r="J2" s="3"/>
      <c r="K2" s="2"/>
      <c r="L2" s="2"/>
      <c r="M2" s="2"/>
      <c r="N2" s="2"/>
      <c r="O2" s="3"/>
      <c r="P2" s="3"/>
      <c r="Q2" s="2"/>
      <c r="R2" s="2"/>
      <c r="S2" s="2"/>
      <c r="T2" s="2"/>
      <c r="U2" s="4"/>
    </row>
    <row r="3" spans="2:35" ht="18.5" x14ac:dyDescent="0.45">
      <c r="B3" s="38" t="str">
        <f>D7&amp; " Bond Issuance"</f>
        <v>Tax-Exempt Bond Issuance</v>
      </c>
      <c r="K3" s="2"/>
      <c r="L3" s="2"/>
      <c r="M3" s="6" t="s">
        <v>1</v>
      </c>
      <c r="N3" s="31"/>
      <c r="O3" s="7"/>
      <c r="Q3" s="2"/>
      <c r="R3" s="11"/>
      <c r="S3" s="11"/>
    </row>
    <row r="4" spans="2:35" ht="18.5" x14ac:dyDescent="0.45">
      <c r="B4" s="38" t="s">
        <v>91</v>
      </c>
      <c r="J4" s="3"/>
      <c r="K4" s="2"/>
      <c r="L4" s="2"/>
      <c r="M4" s="88" t="s">
        <v>3</v>
      </c>
      <c r="O4" s="145">
        <f>O17</f>
        <v>6645000</v>
      </c>
      <c r="P4" s="81"/>
      <c r="Q4" s="2"/>
      <c r="R4" s="11"/>
      <c r="S4" s="11"/>
    </row>
    <row r="5" spans="2:35" x14ac:dyDescent="0.35">
      <c r="M5" s="89" t="s">
        <v>42</v>
      </c>
      <c r="O5" s="146">
        <f>N17</f>
        <v>560709.44999999984</v>
      </c>
      <c r="R5" s="11"/>
      <c r="S5" s="11"/>
      <c r="AA5"/>
      <c r="AB5"/>
      <c r="AC5"/>
      <c r="AD5"/>
      <c r="AE5"/>
      <c r="AF5"/>
      <c r="AG5"/>
      <c r="AH5"/>
      <c r="AI5"/>
    </row>
    <row r="6" spans="2:35" ht="15" thickBot="1" x14ac:dyDescent="0.4">
      <c r="B6" s="6" t="s">
        <v>0</v>
      </c>
      <c r="C6" s="7"/>
      <c r="D6" s="5"/>
      <c r="M6" s="88"/>
      <c r="N6" s="10" t="s">
        <v>5</v>
      </c>
      <c r="O6" s="131">
        <f>SUM(O4:O5)</f>
        <v>7205709.4500000002</v>
      </c>
      <c r="R6" s="11"/>
      <c r="S6" s="11"/>
      <c r="AA6"/>
      <c r="AB6"/>
      <c r="AC6"/>
      <c r="AD6"/>
      <c r="AE6"/>
      <c r="AF6"/>
      <c r="AG6"/>
      <c r="AH6"/>
      <c r="AI6"/>
    </row>
    <row r="7" spans="2:35" ht="15" thickBot="1" x14ac:dyDescent="0.4">
      <c r="B7" s="101" t="s">
        <v>89</v>
      </c>
      <c r="D7" s="77" t="s">
        <v>86</v>
      </c>
      <c r="E7" s="98" t="s">
        <v>41</v>
      </c>
      <c r="F7" s="5"/>
      <c r="M7" s="88"/>
      <c r="R7" s="11"/>
      <c r="S7" s="11"/>
      <c r="AA7"/>
      <c r="AB7"/>
      <c r="AC7"/>
      <c r="AD7"/>
      <c r="AE7"/>
      <c r="AF7"/>
      <c r="AG7"/>
      <c r="AH7"/>
      <c r="AI7"/>
    </row>
    <row r="8" spans="2:35" ht="15" thickBot="1" x14ac:dyDescent="0.4">
      <c r="B8" s="43" t="s">
        <v>43</v>
      </c>
      <c r="D8" s="82">
        <v>46966</v>
      </c>
      <c r="E8" s="98" t="s">
        <v>52</v>
      </c>
      <c r="F8" s="100"/>
      <c r="G8" s="5"/>
      <c r="H8" s="5"/>
      <c r="I8" s="5"/>
      <c r="M8" s="90" t="s">
        <v>2</v>
      </c>
      <c r="N8" s="31"/>
      <c r="O8" s="7"/>
      <c r="R8" s="11"/>
      <c r="S8" s="11"/>
      <c r="AA8"/>
      <c r="AB8"/>
      <c r="AC8"/>
      <c r="AD8"/>
      <c r="AE8"/>
      <c r="AF8"/>
      <c r="AG8"/>
      <c r="AH8"/>
      <c r="AI8"/>
    </row>
    <row r="9" spans="2:35" x14ac:dyDescent="0.35">
      <c r="B9" s="49" t="s">
        <v>50</v>
      </c>
      <c r="D9" s="78">
        <v>10</v>
      </c>
      <c r="E9" s="144" t="s">
        <v>85</v>
      </c>
      <c r="F9" s="98"/>
      <c r="G9" s="9"/>
      <c r="H9" s="9"/>
      <c r="I9" s="51"/>
      <c r="M9" s="149" t="s">
        <v>88</v>
      </c>
      <c r="O9" s="132">
        <f>O6-SUM(O10:O12)</f>
        <v>6324221.9500000002</v>
      </c>
      <c r="R9" s="11"/>
      <c r="S9" s="11"/>
      <c r="AA9"/>
      <c r="AB9"/>
      <c r="AC9"/>
      <c r="AD9"/>
      <c r="AE9"/>
      <c r="AF9"/>
      <c r="AG9"/>
      <c r="AH9"/>
      <c r="AI9"/>
    </row>
    <row r="10" spans="2:35" x14ac:dyDescent="0.35">
      <c r="B10" s="8" t="s">
        <v>4</v>
      </c>
      <c r="D10" s="41">
        <v>500000</v>
      </c>
      <c r="E10" s="9"/>
      <c r="F10" s="9"/>
      <c r="G10" s="9"/>
      <c r="H10" s="9"/>
      <c r="I10" s="12"/>
      <c r="M10" s="88" t="s">
        <v>6</v>
      </c>
      <c r="O10" s="11">
        <f>ROUND(MAX($Q18:$Q35)*($D$12/12),2)</f>
        <v>364875</v>
      </c>
      <c r="P10" s="93"/>
      <c r="Q10" s="11"/>
      <c r="S10" s="11"/>
      <c r="T10" s="11"/>
      <c r="AA10"/>
      <c r="AB10"/>
      <c r="AC10"/>
      <c r="AD10"/>
      <c r="AE10"/>
      <c r="AF10"/>
      <c r="AG10"/>
      <c r="AH10"/>
      <c r="AI10"/>
    </row>
    <row r="11" spans="2:35" x14ac:dyDescent="0.35">
      <c r="B11" s="150" t="s">
        <v>90</v>
      </c>
      <c r="D11" s="42">
        <v>2.5</v>
      </c>
      <c r="E11" s="9"/>
      <c r="F11" s="9"/>
      <c r="G11" s="9"/>
      <c r="H11" s="9"/>
      <c r="I11" s="52"/>
      <c r="M11" s="88" t="s">
        <v>4</v>
      </c>
      <c r="O11" s="11">
        <f>$D$10</f>
        <v>500000</v>
      </c>
      <c r="Q11" s="94"/>
      <c r="R11" s="11"/>
      <c r="S11" s="11"/>
      <c r="AA11"/>
      <c r="AB11"/>
      <c r="AC11"/>
      <c r="AD11"/>
      <c r="AE11"/>
      <c r="AF11"/>
      <c r="AG11"/>
      <c r="AH11"/>
      <c r="AI11"/>
    </row>
    <row r="12" spans="2:35" x14ac:dyDescent="0.35">
      <c r="B12" s="43" t="s">
        <v>44</v>
      </c>
      <c r="D12" s="78">
        <v>3</v>
      </c>
      <c r="E12" s="9"/>
      <c r="F12" s="9"/>
      <c r="G12" s="9"/>
      <c r="H12" s="9"/>
      <c r="I12" s="51"/>
      <c r="J12" s="12"/>
      <c r="M12" s="91" t="s">
        <v>7</v>
      </c>
      <c r="O12" s="11">
        <f>ROUND($D$11*O17/1000,2)</f>
        <v>16612.5</v>
      </c>
      <c r="R12" s="11"/>
      <c r="S12" s="11"/>
      <c r="T12" s="11"/>
      <c r="AA12"/>
      <c r="AB12"/>
      <c r="AC12"/>
      <c r="AD12"/>
      <c r="AE12"/>
      <c r="AF12"/>
      <c r="AG12"/>
      <c r="AH12"/>
      <c r="AI12"/>
    </row>
    <row r="13" spans="2:35" x14ac:dyDescent="0.35">
      <c r="B13" s="1" t="s">
        <v>8</v>
      </c>
      <c r="D13" s="79">
        <v>0.02</v>
      </c>
      <c r="E13" s="9"/>
      <c r="F13" s="9"/>
      <c r="G13" s="9"/>
      <c r="H13" s="9"/>
      <c r="I13" s="51"/>
      <c r="J13" s="12"/>
      <c r="N13" s="10" t="s">
        <v>5</v>
      </c>
      <c r="O13" s="131">
        <f>SUM(O9:O12)</f>
        <v>7205709.4500000002</v>
      </c>
      <c r="R13" s="13"/>
      <c r="S13" s="13"/>
      <c r="AA13"/>
      <c r="AB13"/>
      <c r="AC13"/>
      <c r="AD13"/>
      <c r="AE13"/>
      <c r="AF13"/>
      <c r="AG13"/>
      <c r="AH13"/>
      <c r="AI13"/>
    </row>
    <row r="14" spans="2:35" x14ac:dyDescent="0.35">
      <c r="B14" s="1" t="s">
        <v>9</v>
      </c>
      <c r="D14" s="79">
        <v>1.1000000000000001</v>
      </c>
      <c r="E14" s="9"/>
      <c r="F14" s="9"/>
      <c r="G14" s="9"/>
      <c r="H14" s="9"/>
      <c r="I14" s="51"/>
      <c r="J14" s="12"/>
      <c r="N14" s="2"/>
      <c r="O14" s="2"/>
      <c r="AA14"/>
      <c r="AB14"/>
      <c r="AC14"/>
      <c r="AD14"/>
      <c r="AE14"/>
      <c r="AF14"/>
      <c r="AG14"/>
      <c r="AH14"/>
      <c r="AI14"/>
    </row>
    <row r="15" spans="2:35" x14ac:dyDescent="0.35">
      <c r="D15" s="9"/>
      <c r="E15" s="9"/>
      <c r="F15" s="9"/>
      <c r="G15" s="9"/>
      <c r="H15" s="51"/>
      <c r="I15" s="12"/>
      <c r="J15" s="26" t="s">
        <v>10</v>
      </c>
      <c r="K15" s="26" t="s">
        <v>11</v>
      </c>
      <c r="L15" s="26" t="s">
        <v>12</v>
      </c>
      <c r="M15" s="26" t="s">
        <v>13</v>
      </c>
      <c r="N15" s="26" t="s">
        <v>36</v>
      </c>
      <c r="O15" s="26" t="s">
        <v>14</v>
      </c>
      <c r="P15" s="26" t="s">
        <v>15</v>
      </c>
      <c r="Q15" s="26" t="s">
        <v>45</v>
      </c>
      <c r="R15" s="26" t="s">
        <v>16</v>
      </c>
      <c r="S15" s="26" t="s">
        <v>37</v>
      </c>
      <c r="T15" s="26" t="s">
        <v>46</v>
      </c>
      <c r="U15" s="26" t="s">
        <v>47</v>
      </c>
      <c r="W15" s="36"/>
      <c r="X15" s="36"/>
      <c r="Y15" s="36"/>
      <c r="AA15"/>
      <c r="AB15"/>
      <c r="AC15"/>
      <c r="AD15"/>
      <c r="AE15"/>
      <c r="AF15"/>
      <c r="AG15"/>
      <c r="AH15"/>
      <c r="AI15"/>
    </row>
    <row r="16" spans="2:35" ht="43.5" x14ac:dyDescent="0.35">
      <c r="D16" s="15" t="s">
        <v>84</v>
      </c>
      <c r="E16" s="15" t="s">
        <v>83</v>
      </c>
      <c r="F16" s="15" t="s">
        <v>81</v>
      </c>
      <c r="G16" s="15" t="s">
        <v>82</v>
      </c>
      <c r="H16" s="51"/>
      <c r="I16" s="14" t="s">
        <v>17</v>
      </c>
      <c r="J16" s="15" t="s">
        <v>18</v>
      </c>
      <c r="K16" s="15" t="s">
        <v>33</v>
      </c>
      <c r="L16" s="15" t="s">
        <v>32</v>
      </c>
      <c r="M16" s="15" t="s">
        <v>35</v>
      </c>
      <c r="N16" s="15" t="s">
        <v>34</v>
      </c>
      <c r="O16" s="15" t="s">
        <v>19</v>
      </c>
      <c r="P16" s="15" t="s">
        <v>20</v>
      </c>
      <c r="Q16" s="15" t="s">
        <v>21</v>
      </c>
      <c r="R16" s="15" t="s">
        <v>22</v>
      </c>
      <c r="S16" s="15" t="s">
        <v>23</v>
      </c>
      <c r="T16" s="15" t="s">
        <v>24</v>
      </c>
      <c r="U16" s="15" t="s">
        <v>25</v>
      </c>
      <c r="W16" s="15" t="s">
        <v>38</v>
      </c>
      <c r="X16" s="37" t="s">
        <v>39</v>
      </c>
      <c r="Y16" s="37" t="s">
        <v>40</v>
      </c>
      <c r="AA16"/>
      <c r="AB16"/>
      <c r="AC16"/>
      <c r="AD16"/>
      <c r="AE16"/>
      <c r="AF16"/>
      <c r="AG16"/>
      <c r="AH16"/>
      <c r="AI16"/>
    </row>
    <row r="17" spans="2:35" ht="17" customHeight="1" thickBot="1" x14ac:dyDescent="0.4">
      <c r="B17" s="16" t="s">
        <v>26</v>
      </c>
      <c r="C17" s="16"/>
      <c r="D17" s="16"/>
      <c r="E17" s="16"/>
      <c r="F17" s="16"/>
      <c r="G17" s="16"/>
      <c r="H17" s="53"/>
      <c r="I17" s="60" t="s">
        <v>27</v>
      </c>
      <c r="J17" s="17">
        <f>SUM(J18:J35)</f>
        <v>8400000</v>
      </c>
      <c r="K17" s="17"/>
      <c r="L17" s="17"/>
      <c r="M17" s="17"/>
      <c r="N17" s="17">
        <f t="shared" ref="N17:T17" si="0">SUM(N18:N35)</f>
        <v>560709.44999999984</v>
      </c>
      <c r="O17" s="17">
        <f t="shared" si="0"/>
        <v>6645000</v>
      </c>
      <c r="P17" s="17">
        <f t="shared" si="0"/>
        <v>1381125</v>
      </c>
      <c r="Q17" s="17">
        <f t="shared" si="0"/>
        <v>8026125</v>
      </c>
      <c r="R17" s="17">
        <f t="shared" si="0"/>
        <v>-414741.25</v>
      </c>
      <c r="S17" s="17">
        <f t="shared" si="0"/>
        <v>7611383.75</v>
      </c>
      <c r="T17" s="17">
        <f t="shared" si="0"/>
        <v>788616.25</v>
      </c>
      <c r="U17" s="95">
        <f>IFERROR(J17/S17,"")</f>
        <v>1.1036101024337395</v>
      </c>
      <c r="W17" s="17"/>
      <c r="X17" s="17">
        <f t="shared" ref="X17" si="1">SUM(X18:X35)</f>
        <v>166125</v>
      </c>
      <c r="Y17" s="17">
        <f t="shared" ref="Y17" si="2">SUM(Y18:Y35)</f>
        <v>1381125</v>
      </c>
      <c r="AA17"/>
      <c r="AB17"/>
      <c r="AC17"/>
      <c r="AD17"/>
      <c r="AE17"/>
      <c r="AF17"/>
      <c r="AG17"/>
      <c r="AH17"/>
      <c r="AI17"/>
    </row>
    <row r="18" spans="2:35" ht="15" thickBot="1" x14ac:dyDescent="0.4">
      <c r="B18" s="18" t="s">
        <v>28</v>
      </c>
      <c r="C18" s="18" t="s">
        <v>29</v>
      </c>
      <c r="D18" s="18"/>
      <c r="E18" s="18"/>
      <c r="F18" s="18"/>
      <c r="G18" s="18"/>
      <c r="H18" s="54"/>
      <c r="I18" s="61" cm="1">
        <f t="array" ref="I18:I35">EDATE(EDATE($D$8,$D$9-6),_xlfn.SEQUENCE(18,1,0,6))</f>
        <v>47088</v>
      </c>
      <c r="J18" s="46"/>
      <c r="K18" s="33"/>
      <c r="L18" s="33"/>
      <c r="M18" s="34"/>
      <c r="N18" s="2"/>
      <c r="O18" s="147"/>
      <c r="P18" s="11">
        <f>ROUND(Y18,2)</f>
        <v>110750</v>
      </c>
      <c r="Q18" s="11"/>
      <c r="R18" s="11">
        <f>IF($I18&gt;LastPayoffDate,0,ROUND(-ROUND($O$10*$D$13/2,2)*DAYS360($D$8,$I18,FALSE)/180,2))-IF($I18=LastPayoffDate,$O$10,0)</f>
        <v>-2432.5</v>
      </c>
      <c r="S18" s="11"/>
      <c r="T18" s="11"/>
      <c r="U18" s="84"/>
      <c r="W18" s="11">
        <f>O4</f>
        <v>6645000</v>
      </c>
      <c r="X18" s="11"/>
      <c r="Y18" s="11">
        <f>ROUND(SUM(X18:X$35)*DAYS360($D$8,$I18,FALSE)/180,2)</f>
        <v>110750</v>
      </c>
      <c r="AA18"/>
      <c r="AB18"/>
      <c r="AC18"/>
      <c r="AD18"/>
      <c r="AE18"/>
      <c r="AF18"/>
      <c r="AG18"/>
      <c r="AH18"/>
      <c r="AI18"/>
    </row>
    <row r="19" spans="2:35" x14ac:dyDescent="0.35">
      <c r="B19" s="20">
        <f>DAYS360($D$8,$C19)/360</f>
        <v>0.83333333333333337</v>
      </c>
      <c r="C19" s="57" cm="1">
        <f t="array" ref="C19:C27">EDATE(EDATE($D$8,$D$9),_xlfn.SEQUENCE(9,1,0,12))</f>
        <v>47270</v>
      </c>
      <c r="D19" s="39">
        <v>0.05</v>
      </c>
      <c r="E19" s="39">
        <v>2.53E-2</v>
      </c>
      <c r="F19" s="40">
        <f>G19</f>
        <v>4.4690000000000001E-2</v>
      </c>
      <c r="G19" s="39">
        <v>4.4690000000000001E-2</v>
      </c>
      <c r="H19" s="54"/>
      <c r="I19" s="62">
        <v>47270</v>
      </c>
      <c r="J19" s="47" cm="1">
        <f t="array" ref="J19">IF($I19&gt;LastPayoffDate,0, _xlfn.XLOOKUP($I19,_xlfn.ANCHORARRAY( $C$46), $D$46:$D$165, 0, FALSE))</f>
        <v>1200000</v>
      </c>
      <c r="K19" s="28" cm="1">
        <f t="array" ref="K19">IF($I19&gt;$C$27,0,IF(BondIssuance="Tax-Exempt",_xlfn.XLOOKUP($I19,_xlfn.ANCHORARRAY($C$19), $D$19:$D$27,0,FALSE),_xlfn.XLOOKUP($I19,_xlfn.ANCHORARRAY($C$19), $F$19:$F$27,0,FALSE)))</f>
        <v>0.05</v>
      </c>
      <c r="L19" s="28" cm="1">
        <f t="array" ref="L19">IF($I19&gt;$C$27,0,IF(BondIssuance="Tax-Exempt",_xlfn.XLOOKUP($I19,_xlfn.ANCHORARRAY($C$19), $E$19:$E$27,0,FALSE),_xlfn.XLOOKUP($I19,_xlfn.ANCHORARRAY($C$19), $G$19:$G$27,0,FALSE)))</f>
        <v>2.53E-2</v>
      </c>
      <c r="M19" s="32">
        <f>IF(K19=L19,100,TRUNC(PRICE($D$8,I19,K19,L19,100,2,0),3))</f>
        <v>102.02</v>
      </c>
      <c r="N19" s="27">
        <f>IF($I19&lt;=LastPayoffDate,IF(M19&gt;0,O19*(M19/100)-O19,0),0)</f>
        <v>16463</v>
      </c>
      <c r="O19" s="87">
        <f>-M$70</f>
        <v>815000</v>
      </c>
      <c r="P19" s="29">
        <f t="shared" ref="P19:P35" si="3">ROUND(Y19,2)</f>
        <v>166125</v>
      </c>
      <c r="Q19" s="29">
        <f>SUM(O18:P19)</f>
        <v>1091875</v>
      </c>
      <c r="R19" s="29">
        <f t="shared" ref="R19:R35" si="4">IF($I19&gt;LastPayoffDate,0,-ROUND($O$10*$D$13/2,2))-IF($I19=LastPayoffDate,$O$10,0)</f>
        <v>-3648.75</v>
      </c>
      <c r="S19" s="29">
        <f>SUM(Q18:R19)</f>
        <v>1085793.75</v>
      </c>
      <c r="T19" s="29">
        <f>IF($I19&gt;LastPayoffDate,0, J19-S19)</f>
        <v>114206.25</v>
      </c>
      <c r="U19" s="85">
        <f>IFERROR(J19/S19,"")</f>
        <v>1.1051822687319761</v>
      </c>
      <c r="W19" s="29">
        <f t="shared" ref="W19:W35" si="5">IF($I18&gt;=LastPayoffDate,0, W18-O18)</f>
        <v>6645000</v>
      </c>
      <c r="X19" s="29">
        <f>ROUND(O19*(K19/2),99)</f>
        <v>20375</v>
      </c>
      <c r="Y19" s="29">
        <f>ROUND(SUM(X19:X$35),2)</f>
        <v>166125</v>
      </c>
      <c r="AA19"/>
      <c r="AB19"/>
      <c r="AC19"/>
      <c r="AD19"/>
      <c r="AE19"/>
      <c r="AF19"/>
      <c r="AG19"/>
      <c r="AH19"/>
      <c r="AI19"/>
    </row>
    <row r="20" spans="2:35" x14ac:dyDescent="0.35">
      <c r="B20" s="20">
        <f t="shared" ref="B20:B27" si="6">DAYS360($D$8,$C20)/360</f>
        <v>1.8333333333333333</v>
      </c>
      <c r="C20" s="58">
        <v>47635</v>
      </c>
      <c r="D20" s="39">
        <v>0.05</v>
      </c>
      <c r="E20" s="39">
        <v>2.5499999999999998E-2</v>
      </c>
      <c r="F20" s="40">
        <f t="shared" ref="F20:F27" si="7">G20</f>
        <v>4.4189999999999993E-2</v>
      </c>
      <c r="G20" s="39">
        <v>4.4189999999999993E-2</v>
      </c>
      <c r="H20" s="54"/>
      <c r="I20" s="58">
        <v>47453</v>
      </c>
      <c r="J20" s="46"/>
      <c r="K20" s="33"/>
      <c r="L20" s="33"/>
      <c r="M20" s="34"/>
      <c r="N20" s="2"/>
      <c r="O20" s="87"/>
      <c r="P20" s="11">
        <f t="shared" si="3"/>
        <v>145750</v>
      </c>
      <c r="Q20" s="11"/>
      <c r="R20" s="11">
        <f t="shared" si="4"/>
        <v>-3648.75</v>
      </c>
      <c r="S20" s="11"/>
      <c r="T20" s="11"/>
      <c r="U20" s="84"/>
      <c r="W20" s="11">
        <f t="shared" si="5"/>
        <v>5830000</v>
      </c>
      <c r="X20" s="11"/>
      <c r="Y20" s="11">
        <f>ROUND(SUM(X20:X$35),2)</f>
        <v>145750</v>
      </c>
      <c r="AA20"/>
      <c r="AB20"/>
      <c r="AC20"/>
      <c r="AD20"/>
      <c r="AE20"/>
      <c r="AF20"/>
      <c r="AG20"/>
      <c r="AH20"/>
      <c r="AI20"/>
    </row>
    <row r="21" spans="2:35" x14ac:dyDescent="0.35">
      <c r="B21" s="20">
        <f t="shared" si="6"/>
        <v>2.8333333333333335</v>
      </c>
      <c r="C21" s="58">
        <v>48000</v>
      </c>
      <c r="D21" s="39">
        <v>0.05</v>
      </c>
      <c r="E21" s="39">
        <v>2.5499999999999998E-2</v>
      </c>
      <c r="F21" s="40">
        <f t="shared" si="7"/>
        <v>4.4850000000000001E-2</v>
      </c>
      <c r="G21" s="39">
        <v>4.4850000000000001E-2</v>
      </c>
      <c r="H21" s="54"/>
      <c r="I21" s="62">
        <v>47635</v>
      </c>
      <c r="J21" s="47" cm="1">
        <f t="array" ref="J21">IF($I21&gt;LastPayoffDate,0, _xlfn.XLOOKUP($I21,_xlfn.ANCHORARRAY( $C$46), $D$46:$D$165, 0, FALSE))</f>
        <v>1200000</v>
      </c>
      <c r="K21" s="28" cm="1">
        <f t="array" ref="K21">IF($I21&gt;$C$27,0,IF(BondIssuance="Tax-Exempt",_xlfn.XLOOKUP($I21,_xlfn.ANCHORARRAY($C$19), $D$19:$D$27,0,FALSE),_xlfn.XLOOKUP($I21,_xlfn.ANCHORARRAY($C$19), $F$19:$F$27,0,FALSE)))</f>
        <v>0.05</v>
      </c>
      <c r="L21" s="28" cm="1">
        <f t="array" ref="L21">IF($I21&gt;$C$27,0,IF(BondIssuance="Tax-Exempt",_xlfn.XLOOKUP($I21,_xlfn.ANCHORARRAY($C$19), $E$19:$E$27,0,FALSE),_xlfn.XLOOKUP($I21,_xlfn.ANCHORARRAY($C$19), $G$19:$G$27,0,FALSE)))</f>
        <v>2.5499999999999998E-2</v>
      </c>
      <c r="M21" s="32">
        <f>IF(K21=L21,100,TRUNC(PRICE($D$8,I21,K21,L21,100,2,0),3))</f>
        <v>104.357</v>
      </c>
      <c r="N21" s="27">
        <f>IF($I21&lt;=LastPayoffDate,IF(M21&gt;0,O21*(M21/100)-O21,0),0)</f>
        <v>35073.84999999986</v>
      </c>
      <c r="O21" s="87">
        <f>-N$70</f>
        <v>805000</v>
      </c>
      <c r="P21" s="29">
        <f t="shared" si="3"/>
        <v>145750</v>
      </c>
      <c r="Q21" s="29">
        <f>SUM(O20:P21)</f>
        <v>1096500</v>
      </c>
      <c r="R21" s="29">
        <f t="shared" si="4"/>
        <v>-3648.75</v>
      </c>
      <c r="S21" s="29">
        <f>SUM(Q20:R21)</f>
        <v>1089202.5</v>
      </c>
      <c r="T21" s="29">
        <f>IF($I21&gt;LastPayoffDate,0, J21-S21)</f>
        <v>110797.5</v>
      </c>
      <c r="U21" s="85">
        <f>IFERROR(J21/S21,"")</f>
        <v>1.1017235087139443</v>
      </c>
      <c r="W21" s="29">
        <f t="shared" si="5"/>
        <v>5830000</v>
      </c>
      <c r="X21" s="29">
        <f>ROUND(O21*(K21/2),99)</f>
        <v>20125</v>
      </c>
      <c r="Y21" s="29">
        <f>ROUND(SUM(X21:X$35),2)</f>
        <v>145750</v>
      </c>
      <c r="AA21"/>
      <c r="AB21"/>
      <c r="AC21"/>
      <c r="AD21"/>
      <c r="AE21"/>
      <c r="AF21"/>
      <c r="AG21"/>
      <c r="AH21"/>
      <c r="AI21"/>
    </row>
    <row r="22" spans="2:35" x14ac:dyDescent="0.35">
      <c r="B22" s="20">
        <f t="shared" si="6"/>
        <v>3.8333333333333335</v>
      </c>
      <c r="C22" s="58">
        <v>48366</v>
      </c>
      <c r="D22" s="39">
        <v>0.05</v>
      </c>
      <c r="E22" s="39">
        <v>2.5799999999999997E-2</v>
      </c>
      <c r="F22" s="40">
        <f t="shared" si="7"/>
        <v>4.5880000000000004E-2</v>
      </c>
      <c r="G22" s="39">
        <v>4.5880000000000004E-2</v>
      </c>
      <c r="H22" s="54"/>
      <c r="I22" s="58">
        <v>47818</v>
      </c>
      <c r="J22" s="46"/>
      <c r="K22" s="33"/>
      <c r="L22" s="33"/>
      <c r="M22" s="34"/>
      <c r="N22" s="2"/>
      <c r="O22" s="87"/>
      <c r="P22" s="11">
        <f t="shared" si="3"/>
        <v>125625</v>
      </c>
      <c r="Q22" s="11"/>
      <c r="R22" s="11">
        <f t="shared" si="4"/>
        <v>-3648.75</v>
      </c>
      <c r="S22" s="11"/>
      <c r="T22" s="11"/>
      <c r="U22" s="84"/>
      <c r="W22" s="11">
        <f t="shared" si="5"/>
        <v>5025000</v>
      </c>
      <c r="X22" s="11"/>
      <c r="Y22" s="11">
        <f>ROUND(SUM(X22:X$35),2)</f>
        <v>125625</v>
      </c>
      <c r="AA22"/>
      <c r="AB22"/>
      <c r="AC22"/>
      <c r="AD22"/>
      <c r="AE22"/>
      <c r="AF22"/>
      <c r="AG22"/>
      <c r="AH22"/>
      <c r="AI22"/>
    </row>
    <row r="23" spans="2:35" x14ac:dyDescent="0.35">
      <c r="B23" s="20">
        <f t="shared" si="6"/>
        <v>4.833333333333333</v>
      </c>
      <c r="C23" s="58">
        <v>48731</v>
      </c>
      <c r="D23" s="39">
        <v>0.05</v>
      </c>
      <c r="E23" s="39">
        <v>2.69E-2</v>
      </c>
      <c r="F23" s="40">
        <f t="shared" si="7"/>
        <v>4.6879999999999998E-2</v>
      </c>
      <c r="G23" s="39">
        <v>4.6879999999999998E-2</v>
      </c>
      <c r="H23" s="54"/>
      <c r="I23" s="62">
        <v>48000</v>
      </c>
      <c r="J23" s="47" cm="1">
        <f t="array" ref="J23">IF($I23&gt;LastPayoffDate,0, _xlfn.XLOOKUP($I23,_xlfn.ANCHORARRAY( $C$46), $D$46:$D$165, 0, FALSE))</f>
        <v>1200000</v>
      </c>
      <c r="K23" s="28" cm="1">
        <f t="array" ref="K23">IF($I23&gt;$C$27,0,IF(BondIssuance="Tax-Exempt",_xlfn.XLOOKUP($I23,_xlfn.ANCHORARRAY($C$19), $D$19:$D$27,0,FALSE),_xlfn.XLOOKUP($I23,_xlfn.ANCHORARRAY($C$19), $F$19:$F$27,0,FALSE)))</f>
        <v>0.05</v>
      </c>
      <c r="L23" s="28" cm="1">
        <f t="array" ref="L23">IF($I23&gt;$C$27,0,IF(BondIssuance="Tax-Exempt",_xlfn.XLOOKUP($I23,_xlfn.ANCHORARRAY($C$19), $E$19:$E$27,0,FALSE),_xlfn.XLOOKUP($I23,_xlfn.ANCHORARRAY($C$19), $G$19:$G$27,0,FALSE)))</f>
        <v>2.5499999999999998E-2</v>
      </c>
      <c r="M23" s="32">
        <f>IF(K23=L23,100,TRUNC(PRICE($D$8,I23,K23,L23,100,2,0),3))</f>
        <v>106.652</v>
      </c>
      <c r="N23" s="27">
        <f>IF($I23&lt;=LastPayoffDate,IF(M23&gt;0,O23*(M23/100)-O23,0),0)</f>
        <v>56209.399999999907</v>
      </c>
      <c r="O23" s="87">
        <f>-O$70</f>
        <v>845000</v>
      </c>
      <c r="P23" s="29">
        <f t="shared" si="3"/>
        <v>125625</v>
      </c>
      <c r="Q23" s="29">
        <f>SUM(O22:P23)</f>
        <v>1096250</v>
      </c>
      <c r="R23" s="29">
        <f t="shared" si="4"/>
        <v>-3648.75</v>
      </c>
      <c r="S23" s="29">
        <f>SUM(Q22:R23)</f>
        <v>1088952.5</v>
      </c>
      <c r="T23" s="29">
        <f>IF($I23&gt;LastPayoffDate,0, J23-S23)</f>
        <v>111047.5</v>
      </c>
      <c r="U23" s="85">
        <f>IFERROR(J23/S23,"")</f>
        <v>1.1019764406620123</v>
      </c>
      <c r="W23" s="29">
        <f t="shared" si="5"/>
        <v>5025000</v>
      </c>
      <c r="X23" s="29">
        <f>ROUND(O23*(K23/2),99)</f>
        <v>21125</v>
      </c>
      <c r="Y23" s="29">
        <f>ROUND(SUM(X23:X$35),2)</f>
        <v>125625</v>
      </c>
      <c r="AA23"/>
      <c r="AB23"/>
      <c r="AC23"/>
      <c r="AD23"/>
      <c r="AE23"/>
      <c r="AF23"/>
      <c r="AG23"/>
      <c r="AH23"/>
      <c r="AI23"/>
    </row>
    <row r="24" spans="2:35" x14ac:dyDescent="0.35">
      <c r="B24" s="20">
        <f t="shared" si="6"/>
        <v>5.833333333333333</v>
      </c>
      <c r="C24" s="58">
        <v>49096</v>
      </c>
      <c r="D24" s="39">
        <v>0.05</v>
      </c>
      <c r="E24" s="39">
        <v>2.8699999999999996E-2</v>
      </c>
      <c r="F24" s="40">
        <f t="shared" si="7"/>
        <v>4.836E-2</v>
      </c>
      <c r="G24" s="39">
        <v>4.836E-2</v>
      </c>
      <c r="H24" s="54"/>
      <c r="I24" s="58">
        <v>48183</v>
      </c>
      <c r="J24" s="46"/>
      <c r="K24" s="33"/>
      <c r="L24" s="33"/>
      <c r="M24" s="34"/>
      <c r="N24" s="2"/>
      <c r="O24" s="87"/>
      <c r="P24" s="11">
        <f t="shared" si="3"/>
        <v>104500</v>
      </c>
      <c r="Q24" s="11"/>
      <c r="R24" s="11">
        <f t="shared" si="4"/>
        <v>-3648.75</v>
      </c>
      <c r="S24" s="11"/>
      <c r="T24" s="11"/>
      <c r="U24" s="84"/>
      <c r="W24" s="11">
        <f t="shared" si="5"/>
        <v>4180000</v>
      </c>
      <c r="X24" s="11"/>
      <c r="Y24" s="11">
        <f>ROUND(SUM(X24:X$35),2)</f>
        <v>104500</v>
      </c>
      <c r="AA24"/>
      <c r="AB24"/>
      <c r="AC24"/>
      <c r="AD24"/>
      <c r="AE24"/>
      <c r="AF24"/>
      <c r="AG24"/>
      <c r="AH24"/>
      <c r="AI24"/>
    </row>
    <row r="25" spans="2:35" x14ac:dyDescent="0.35">
      <c r="B25" s="20">
        <f t="shared" si="6"/>
        <v>6.833333333333333</v>
      </c>
      <c r="C25" s="58">
        <v>49461</v>
      </c>
      <c r="D25" s="39">
        <v>0.05</v>
      </c>
      <c r="E25" s="39">
        <v>3.0299999999999997E-2</v>
      </c>
      <c r="F25" s="40">
        <f t="shared" si="7"/>
        <v>4.9360000000000001E-2</v>
      </c>
      <c r="G25" s="39">
        <v>4.9360000000000001E-2</v>
      </c>
      <c r="H25" s="54"/>
      <c r="I25" s="62">
        <v>48366</v>
      </c>
      <c r="J25" s="47" cm="1">
        <f t="array" ref="J25">IF($I25&gt;LastPayoffDate,0, _xlfn.XLOOKUP($I25,_xlfn.ANCHORARRAY( $C$46), $D$46:$D$165, 0, FALSE))</f>
        <v>1200000</v>
      </c>
      <c r="K25" s="28" cm="1">
        <f t="array" ref="K25">IF($I25&gt;$C$27,0,IF(BondIssuance="Tax-Exempt",_xlfn.XLOOKUP($I25,_xlfn.ANCHORARRAY($C$19), $D$19:$D$27,0,FALSE),_xlfn.XLOOKUP($I25,_xlfn.ANCHORARRAY($C$19), $F$19:$F$27,0,FALSE)))</f>
        <v>0.05</v>
      </c>
      <c r="L25" s="28" cm="1">
        <f t="array" ref="L25">IF($I25&gt;$C$27,0,IF(BondIssuance="Tax-Exempt",_xlfn.XLOOKUP($I25,_xlfn.ANCHORARRAY($C$19), $E$19:$E$27,0,FALSE),_xlfn.XLOOKUP($I25,_xlfn.ANCHORARRAY($C$19), $G$19:$G$27,0,FALSE)))</f>
        <v>2.5799999999999997E-2</v>
      </c>
      <c r="M25" s="32">
        <f>IF(K25=L25,100,TRUNC(PRICE($D$8,I25,K25,L25,100,2,0),3))</f>
        <v>108.77500000000001</v>
      </c>
      <c r="N25" s="27">
        <f>IF($I25&lt;=LastPayoffDate,IF(M25&gt;0,O25*(M25/100)-O25,0),0)</f>
        <v>77658.75</v>
      </c>
      <c r="O25" s="87">
        <f>-P$70</f>
        <v>885000</v>
      </c>
      <c r="P25" s="29">
        <f t="shared" si="3"/>
        <v>104500</v>
      </c>
      <c r="Q25" s="29">
        <f>SUM(O24:P25)</f>
        <v>1094000</v>
      </c>
      <c r="R25" s="29">
        <f t="shared" si="4"/>
        <v>-3648.75</v>
      </c>
      <c r="S25" s="29">
        <f>SUM(Q24:R25)</f>
        <v>1086702.5</v>
      </c>
      <c r="T25" s="29">
        <f>IF($I25&gt;LastPayoffDate,0, J25-S25)</f>
        <v>113297.5</v>
      </c>
      <c r="U25" s="85">
        <f>IFERROR(J25/S25,"")</f>
        <v>1.1042580651098162</v>
      </c>
      <c r="W25" s="29">
        <f t="shared" si="5"/>
        <v>4180000</v>
      </c>
      <c r="X25" s="29">
        <f>ROUND(O25*(K25/2),99)</f>
        <v>22125</v>
      </c>
      <c r="Y25" s="29">
        <f>ROUND(SUM(X25:X$35),2)</f>
        <v>104500</v>
      </c>
      <c r="AA25"/>
      <c r="AB25"/>
      <c r="AC25"/>
      <c r="AD25"/>
      <c r="AE25"/>
      <c r="AF25"/>
      <c r="AG25"/>
      <c r="AH25"/>
      <c r="AI25"/>
    </row>
    <row r="26" spans="2:35" x14ac:dyDescent="0.35">
      <c r="B26" s="20">
        <f t="shared" si="6"/>
        <v>7.833333333333333</v>
      </c>
      <c r="C26" s="58">
        <v>49827</v>
      </c>
      <c r="D26" s="39">
        <v>0.05</v>
      </c>
      <c r="E26" s="39">
        <v>3.1699999999999999E-2</v>
      </c>
      <c r="F26" s="40">
        <f t="shared" si="7"/>
        <v>5.0869999999999999E-2</v>
      </c>
      <c r="G26" s="39">
        <v>5.0869999999999999E-2</v>
      </c>
      <c r="H26" s="54"/>
      <c r="I26" s="58">
        <v>48549</v>
      </c>
      <c r="J26" s="46"/>
      <c r="K26" s="33"/>
      <c r="L26" s="33"/>
      <c r="M26" s="34"/>
      <c r="N26" s="2"/>
      <c r="O26" s="87"/>
      <c r="P26" s="11">
        <f t="shared" si="3"/>
        <v>82375</v>
      </c>
      <c r="Q26" s="11"/>
      <c r="R26" s="11">
        <f t="shared" si="4"/>
        <v>-3648.75</v>
      </c>
      <c r="S26" s="11"/>
      <c r="T26" s="11"/>
      <c r="U26" s="84"/>
      <c r="W26" s="11">
        <f t="shared" si="5"/>
        <v>3295000</v>
      </c>
      <c r="X26" s="11"/>
      <c r="Y26" s="11">
        <f>ROUND(SUM(X26:X$35),2)</f>
        <v>82375</v>
      </c>
      <c r="AA26"/>
      <c r="AB26"/>
      <c r="AC26"/>
      <c r="AD26"/>
      <c r="AE26"/>
      <c r="AF26"/>
      <c r="AG26"/>
      <c r="AH26"/>
      <c r="AI26"/>
    </row>
    <row r="27" spans="2:35" ht="15" thickBot="1" x14ac:dyDescent="0.4">
      <c r="B27" s="20">
        <f t="shared" si="6"/>
        <v>8.8333333333333339</v>
      </c>
      <c r="C27" s="59">
        <v>50192</v>
      </c>
      <c r="D27" s="39">
        <v>0.05</v>
      </c>
      <c r="E27" s="39">
        <v>3.3399999999999999E-2</v>
      </c>
      <c r="F27" s="40">
        <f t="shared" si="7"/>
        <v>5.237E-2</v>
      </c>
      <c r="G27" s="39">
        <v>5.237E-2</v>
      </c>
      <c r="H27" s="54"/>
      <c r="I27" s="62">
        <v>48731</v>
      </c>
      <c r="J27" s="47" cm="1">
        <f t="array" ref="J27">IF($I27&gt;LastPayoffDate,0, _xlfn.XLOOKUP($I27,_xlfn.ANCHORARRAY( $C$46), $D$46:$D$165, 0, FALSE))</f>
        <v>1200000</v>
      </c>
      <c r="K27" s="28" cm="1">
        <f t="array" ref="K27">IF($I27&gt;$C$27,0,IF(BondIssuance="Tax-Exempt",_xlfn.XLOOKUP($I27,_xlfn.ANCHORARRAY($C$19), $D$19:$D$27,0,FALSE),_xlfn.XLOOKUP($I27,_xlfn.ANCHORARRAY($C$19), $F$19:$F$27,0,FALSE)))</f>
        <v>0.05</v>
      </c>
      <c r="L27" s="28" cm="1">
        <f t="array" ref="L27">IF($I27&gt;$C$27,0,IF(BondIssuance="Tax-Exempt",_xlfn.XLOOKUP($I27,_xlfn.ANCHORARRAY($C$19), $E$19:$E$27,0,FALSE),_xlfn.XLOOKUP($I27,_xlfn.ANCHORARRAY($C$19), $G$19:$G$27,0,FALSE)))</f>
        <v>2.69E-2</v>
      </c>
      <c r="M27" s="32">
        <f>IF(K27=L27,100,TRUNC(PRICE($D$8,I27,K27,L27,100,2,0),3))</f>
        <v>110.4</v>
      </c>
      <c r="N27" s="27">
        <f>IF($I27&lt;=LastPayoffDate,IF(M27&gt;0,O27*(M27/100)-O27,0),0)</f>
        <v>96720.000000000116</v>
      </c>
      <c r="O27" s="87">
        <f>-Q$70</f>
        <v>930000</v>
      </c>
      <c r="P27" s="29">
        <f t="shared" si="3"/>
        <v>82375</v>
      </c>
      <c r="Q27" s="29">
        <f>SUM(O26:P27)</f>
        <v>1094750</v>
      </c>
      <c r="R27" s="29">
        <f t="shared" si="4"/>
        <v>-3648.75</v>
      </c>
      <c r="S27" s="29">
        <f>SUM(Q26:R27)</f>
        <v>1087452.5</v>
      </c>
      <c r="T27" s="29">
        <f>IF($I27&gt;LastPayoffDate,0, J27-S27)</f>
        <v>112547.5</v>
      </c>
      <c r="U27" s="85">
        <f>IFERROR(J27/S27,"")</f>
        <v>1.1034964745586588</v>
      </c>
      <c r="W27" s="29">
        <f t="shared" si="5"/>
        <v>3295000</v>
      </c>
      <c r="X27" s="29">
        <f>ROUND(O27*(K27/2),99)</f>
        <v>23250</v>
      </c>
      <c r="Y27" s="29">
        <f>ROUND(SUM(X27:X$35),2)</f>
        <v>82375</v>
      </c>
      <c r="AA27"/>
      <c r="AB27"/>
      <c r="AC27"/>
      <c r="AD27"/>
      <c r="AE27"/>
      <c r="AF27"/>
      <c r="AG27"/>
      <c r="AH27"/>
      <c r="AI27"/>
    </row>
    <row r="28" spans="2:35" x14ac:dyDescent="0.35">
      <c r="F28" s="18"/>
      <c r="G28" s="18"/>
      <c r="H28" s="54"/>
      <c r="I28" s="58">
        <v>48914</v>
      </c>
      <c r="J28" s="46"/>
      <c r="K28" s="33"/>
      <c r="L28" s="33"/>
      <c r="M28" s="34"/>
      <c r="N28" s="2"/>
      <c r="O28" s="87"/>
      <c r="P28" s="11">
        <f t="shared" si="3"/>
        <v>59125</v>
      </c>
      <c r="Q28" s="11"/>
      <c r="R28" s="11">
        <f t="shared" si="4"/>
        <v>-3648.75</v>
      </c>
      <c r="S28" s="11"/>
      <c r="T28" s="11"/>
      <c r="U28" s="84"/>
      <c r="W28" s="11">
        <f t="shared" si="5"/>
        <v>2365000</v>
      </c>
      <c r="X28" s="11"/>
      <c r="Y28" s="11">
        <f>ROUND(SUM(X28:X$35),2)</f>
        <v>59125</v>
      </c>
      <c r="AA28"/>
      <c r="AB28"/>
      <c r="AC28"/>
      <c r="AD28"/>
      <c r="AE28"/>
      <c r="AF28"/>
      <c r="AG28"/>
      <c r="AH28"/>
      <c r="AI28"/>
    </row>
    <row r="29" spans="2:35" x14ac:dyDescent="0.35">
      <c r="B29" s="21" t="s">
        <v>30</v>
      </c>
      <c r="H29" s="54"/>
      <c r="I29" s="62">
        <v>49096</v>
      </c>
      <c r="J29" s="47" cm="1">
        <f t="array" ref="J29">IF($I29&gt;LastPayoffDate,0, _xlfn.XLOOKUP($I29,_xlfn.ANCHORARRAY( $C$46), $D$46:$D$165, 0, FALSE))</f>
        <v>1200000</v>
      </c>
      <c r="K29" s="28" cm="1">
        <f t="array" ref="K29">IF($I29&gt;$C$27,0,IF(BondIssuance="Tax-Exempt",_xlfn.XLOOKUP($I29,_xlfn.ANCHORARRAY($C$19), $D$19:$D$27,0,FALSE),_xlfn.XLOOKUP($I29,_xlfn.ANCHORARRAY($C$19), $F$19:$F$27,0,FALSE)))</f>
        <v>0.05</v>
      </c>
      <c r="L29" s="28" cm="1">
        <f t="array" ref="L29">IF($I29&gt;$C$27,0,IF(BondIssuance="Tax-Exempt",_xlfn.XLOOKUP($I29,_xlfn.ANCHORARRAY($C$19), $E$19:$E$27,0,FALSE),_xlfn.XLOOKUP($I29,_xlfn.ANCHORARRAY($C$19), $G$19:$G$27,0,FALSE)))</f>
        <v>2.8699999999999996E-2</v>
      </c>
      <c r="M29" s="32">
        <f>IF(K29=L29,100,TRUNC(PRICE($D$8,I29,K29,L29,100,2,0),3))</f>
        <v>111.361</v>
      </c>
      <c r="N29" s="27">
        <f>IF($I29&lt;=LastPayoffDate,IF(M29&gt;0,O29*(M29/100)-O29,0),0)</f>
        <v>110769.75</v>
      </c>
      <c r="O29" s="87">
        <f>-R$70</f>
        <v>975000</v>
      </c>
      <c r="P29" s="29">
        <f t="shared" si="3"/>
        <v>59125</v>
      </c>
      <c r="Q29" s="29">
        <f>SUM(O28:P29)</f>
        <v>1093250</v>
      </c>
      <c r="R29" s="29">
        <f t="shared" si="4"/>
        <v>-3648.75</v>
      </c>
      <c r="S29" s="29">
        <f>SUM(Q28:R29)</f>
        <v>1085952.5</v>
      </c>
      <c r="T29" s="29">
        <f>IF($I29&gt;LastPayoffDate,0, J29-S29)</f>
        <v>114047.5</v>
      </c>
      <c r="U29" s="85">
        <f>IFERROR(J29/S29,"")</f>
        <v>1.1050207076276357</v>
      </c>
      <c r="W29" s="29">
        <f t="shared" si="5"/>
        <v>2365000</v>
      </c>
      <c r="X29" s="29">
        <f>ROUND(O29*(K29/2),99)</f>
        <v>24375</v>
      </c>
      <c r="Y29" s="29">
        <f>ROUND(SUM(X29:X$35),2)</f>
        <v>59125</v>
      </c>
      <c r="AA29"/>
      <c r="AB29"/>
      <c r="AC29"/>
      <c r="AD29"/>
      <c r="AE29"/>
      <c r="AF29"/>
      <c r="AG29"/>
      <c r="AH29"/>
      <c r="AI29"/>
    </row>
    <row r="30" spans="2:35" x14ac:dyDescent="0.35">
      <c r="B30" s="21" t="s">
        <v>31</v>
      </c>
      <c r="H30" s="54"/>
      <c r="I30" s="58">
        <v>49279</v>
      </c>
      <c r="J30" s="46"/>
      <c r="K30" s="33"/>
      <c r="L30" s="33"/>
      <c r="M30" s="34"/>
      <c r="N30" s="2"/>
      <c r="O30" s="87"/>
      <c r="P30" s="11">
        <f t="shared" si="3"/>
        <v>34750</v>
      </c>
      <c r="Q30" s="11"/>
      <c r="R30" s="11">
        <f t="shared" si="4"/>
        <v>-3648.75</v>
      </c>
      <c r="S30" s="11"/>
      <c r="T30" s="11"/>
      <c r="U30" s="84"/>
      <c r="W30" s="11">
        <f t="shared" si="5"/>
        <v>1390000</v>
      </c>
      <c r="X30" s="11"/>
      <c r="Y30" s="11">
        <f>ROUND(SUM(X30:X$35),2)</f>
        <v>34750</v>
      </c>
      <c r="AA30"/>
      <c r="AB30"/>
      <c r="AC30"/>
      <c r="AD30"/>
      <c r="AE30"/>
      <c r="AF30"/>
      <c r="AG30"/>
      <c r="AH30"/>
      <c r="AI30"/>
    </row>
    <row r="31" spans="2:35" x14ac:dyDescent="0.35">
      <c r="H31" s="55"/>
      <c r="I31" s="62">
        <v>49461</v>
      </c>
      <c r="J31" s="47" cm="1">
        <f t="array" ref="J31">IF($I31&gt;LastPayoffDate,0, _xlfn.XLOOKUP($I31,_xlfn.ANCHORARRAY( $C$46), $D$46:$D$165, 0, FALSE))</f>
        <v>1200000</v>
      </c>
      <c r="K31" s="28" cm="1">
        <f t="array" ref="K31">IF($I31&gt;$C$27,0,IF(BondIssuance="Tax-Exempt",_xlfn.XLOOKUP($I31,_xlfn.ANCHORARRAY($C$19), $D$19:$D$27,0,FALSE),_xlfn.XLOOKUP($I31,_xlfn.ANCHORARRAY($C$19), $F$19:$F$27,0,FALSE)))</f>
        <v>0.05</v>
      </c>
      <c r="L31" s="28" cm="1">
        <f t="array" ref="L31">IF($I31&gt;$C$27,0,IF(BondIssuance="Tax-Exempt",_xlfn.XLOOKUP($I31,_xlfn.ANCHORARRAY($C$19), $E$19:$E$27,0,FALSE),_xlfn.XLOOKUP($I31,_xlfn.ANCHORARRAY($C$19), $G$19:$G$27,0,FALSE)))</f>
        <v>3.0299999999999997E-2</v>
      </c>
      <c r="M31" s="32">
        <f>IF(K31=L31,100,TRUNC(PRICE($D$8,I31,K31,L31,100,2,0),3))</f>
        <v>112.07299999999999</v>
      </c>
      <c r="N31" s="27">
        <f>IF($I31&lt;=LastPayoffDate,IF(M31&gt;0,O31*(M31/100)-O31,0),0)</f>
        <v>167814.69999999995</v>
      </c>
      <c r="O31" s="87">
        <f>-S$70</f>
        <v>1390000</v>
      </c>
      <c r="P31" s="29">
        <f t="shared" si="3"/>
        <v>34750</v>
      </c>
      <c r="Q31" s="29">
        <f>SUM(O30:P31)</f>
        <v>1459500</v>
      </c>
      <c r="R31" s="29">
        <f t="shared" si="4"/>
        <v>-368523.75</v>
      </c>
      <c r="S31" s="29">
        <f>SUM(Q30:R31)</f>
        <v>1087327.5</v>
      </c>
      <c r="T31" s="29">
        <f>IF($I31&gt;LastPayoffDate,0, J31-S31)</f>
        <v>112672.5</v>
      </c>
      <c r="U31" s="85">
        <f>IFERROR(J31/S31,"")</f>
        <v>1.1036233333563255</v>
      </c>
      <c r="W31" s="29">
        <f t="shared" si="5"/>
        <v>1390000</v>
      </c>
      <c r="X31" s="29">
        <f>ROUND(O31*(K31/2),99)</f>
        <v>34750</v>
      </c>
      <c r="Y31" s="29">
        <f>ROUND(SUM(X31:X$35),2)</f>
        <v>34750</v>
      </c>
      <c r="AA31"/>
      <c r="AB31"/>
      <c r="AC31"/>
      <c r="AD31"/>
      <c r="AE31"/>
      <c r="AF31"/>
      <c r="AG31"/>
      <c r="AH31"/>
      <c r="AI31"/>
    </row>
    <row r="32" spans="2:35" s="22" customFormat="1" x14ac:dyDescent="0.35">
      <c r="B32" s="22" t="s">
        <v>54</v>
      </c>
      <c r="C32" s="97">
        <v>48945</v>
      </c>
      <c r="H32" s="56"/>
      <c r="I32" s="58">
        <v>49644</v>
      </c>
      <c r="J32" s="46"/>
      <c r="K32" s="33"/>
      <c r="L32" s="33"/>
      <c r="M32" s="34"/>
      <c r="N32" s="2"/>
      <c r="O32" s="92"/>
      <c r="P32" s="23">
        <f t="shared" si="3"/>
        <v>0</v>
      </c>
      <c r="Q32" s="23"/>
      <c r="R32" s="23">
        <f t="shared" si="4"/>
        <v>0</v>
      </c>
      <c r="S32" s="23"/>
      <c r="T32" s="23"/>
      <c r="U32" s="86"/>
      <c r="W32" s="23">
        <f t="shared" si="5"/>
        <v>0</v>
      </c>
      <c r="X32" s="23"/>
      <c r="Y32" s="23">
        <f>ROUND(SUM(X32:X$35),2)</f>
        <v>0</v>
      </c>
      <c r="AA32"/>
      <c r="AB32"/>
      <c r="AC32"/>
      <c r="AD32"/>
      <c r="AE32"/>
      <c r="AF32"/>
      <c r="AG32"/>
      <c r="AH32"/>
      <c r="AI32"/>
    </row>
    <row r="33" spans="2:35" s="22" customFormat="1" x14ac:dyDescent="0.35">
      <c r="B33" s="22" t="s">
        <v>55</v>
      </c>
      <c r="C33" s="97">
        <f>EDATE($C32, $D9+12)</f>
        <v>49614</v>
      </c>
      <c r="D33" s="50"/>
      <c r="H33" s="56"/>
      <c r="I33" s="62">
        <v>49827</v>
      </c>
      <c r="J33" s="47" cm="1">
        <f t="array" ref="J33">IF($I33&gt;LastPayoffDate,0, _xlfn.XLOOKUP($I33,_xlfn.ANCHORARRAY( $C$46), $D$46:$D$165, 0, FALSE))</f>
        <v>0</v>
      </c>
      <c r="K33" s="28" cm="1">
        <f t="array" ref="K33">IF($I33&gt;$C$27,0,IF(BondIssuance="Tax-Exempt",_xlfn.XLOOKUP($I33,_xlfn.ANCHORARRAY($C$19), $D$19:$D$27,0,FALSE),_xlfn.XLOOKUP($I33,_xlfn.ANCHORARRAY($C$19), $F$19:$F$27,0,FALSE)))</f>
        <v>0.05</v>
      </c>
      <c r="L33" s="28" cm="1">
        <f t="array" ref="L33">IF($I33&gt;$C$27,0,IF(BondIssuance="Tax-Exempt",_xlfn.XLOOKUP($I33,_xlfn.ANCHORARRAY($C$19), $E$19:$E$27,0,FALSE),_xlfn.XLOOKUP($I33,_xlfn.ANCHORARRAY($C$19), $G$19:$G$27,0,FALSE)))</f>
        <v>3.1699999999999999E-2</v>
      </c>
      <c r="M33" s="32">
        <f>IF(K33=L33,100,TRUNC(PRICE($D$8,I33,K33,L33,100,2,0),3))</f>
        <v>112.601</v>
      </c>
      <c r="N33" s="27">
        <f>IF($I33&lt;=LastPayoffDate,IF(M33&gt;0,O33*(M33/100)-O33,0),0)</f>
        <v>0</v>
      </c>
      <c r="O33" s="87">
        <f>-T$70</f>
        <v>0</v>
      </c>
      <c r="P33" s="30">
        <f t="shared" si="3"/>
        <v>0</v>
      </c>
      <c r="Q33" s="29">
        <f>SUM(O32:P33)</f>
        <v>0</v>
      </c>
      <c r="R33" s="30">
        <f t="shared" si="4"/>
        <v>0</v>
      </c>
      <c r="S33" s="29">
        <f>SUM(Q32:R33)</f>
        <v>0</v>
      </c>
      <c r="T33" s="30">
        <f>IF($I33&gt;LastPayoffDate,0, J33-S33)</f>
        <v>0</v>
      </c>
      <c r="U33" s="85" t="str">
        <f>IFERROR(J33/S33,"")</f>
        <v/>
      </c>
      <c r="W33" s="30">
        <f t="shared" si="5"/>
        <v>0</v>
      </c>
      <c r="X33" s="30">
        <f>ROUND(O33*(K33/2),99)</f>
        <v>0</v>
      </c>
      <c r="Y33" s="30">
        <f>ROUND(SUM(X33:X$35),2)</f>
        <v>0</v>
      </c>
      <c r="AA33"/>
      <c r="AB33"/>
      <c r="AC33"/>
      <c r="AD33"/>
      <c r="AE33"/>
      <c r="AF33"/>
      <c r="AG33"/>
      <c r="AH33"/>
      <c r="AI33"/>
    </row>
    <row r="34" spans="2:35" x14ac:dyDescent="0.35">
      <c r="B34" s="22" t="s">
        <v>87</v>
      </c>
      <c r="C34" s="97" cm="1">
        <f t="array" ref="C34">MIN(MaxPayoffDate,$C$27,MAX(_xlfn._xlws.FILTER(_xlfn.ANCHORARRAY(C19),_xlfn.ANCHORARRAY( C19)&lt;=MaxPayoffDate)))</f>
        <v>49461</v>
      </c>
      <c r="D34" s="50"/>
      <c r="H34" s="55"/>
      <c r="I34" s="58">
        <v>50010</v>
      </c>
      <c r="J34" s="46"/>
      <c r="K34" s="33"/>
      <c r="L34" s="33"/>
      <c r="M34" s="34"/>
      <c r="N34" s="2"/>
      <c r="O34" s="87"/>
      <c r="P34" s="11">
        <f t="shared" si="3"/>
        <v>0</v>
      </c>
      <c r="Q34" s="11"/>
      <c r="R34" s="11">
        <f t="shared" si="4"/>
        <v>0</v>
      </c>
      <c r="S34" s="11"/>
      <c r="T34" s="11"/>
      <c r="U34" s="84"/>
      <c r="W34" s="11">
        <f t="shared" si="5"/>
        <v>0</v>
      </c>
      <c r="X34" s="11"/>
      <c r="Y34" s="11">
        <f>ROUND(SUM(X34:X$35),2)</f>
        <v>0</v>
      </c>
      <c r="AA34"/>
      <c r="AB34"/>
      <c r="AC34"/>
      <c r="AD34"/>
      <c r="AE34"/>
      <c r="AF34"/>
      <c r="AG34"/>
      <c r="AH34"/>
      <c r="AI34"/>
    </row>
    <row r="35" spans="2:35" ht="15" thickBot="1" x14ac:dyDescent="0.4">
      <c r="D35" s="50"/>
      <c r="H35" s="55"/>
      <c r="I35" s="63">
        <v>50192</v>
      </c>
      <c r="J35" s="47" cm="1">
        <f t="array" ref="J35">IF($I35&gt;LastPayoffDate,0, _xlfn.XLOOKUP($I35,_xlfn.ANCHORARRAY( $C$46), $D$46:$D$165, 0, FALSE))</f>
        <v>0</v>
      </c>
      <c r="K35" s="28" cm="1">
        <f t="array" ref="K35">IF($I35&gt;$C$27,0,IF(BondIssuance="Tax-Exempt",_xlfn.XLOOKUP($I35,_xlfn.ANCHORARRAY($C$19), $D$19:$D$27,0,FALSE),_xlfn.XLOOKUP($I35,_xlfn.ANCHORARRAY($C$19), $F$19:$F$27,0,FALSE)))</f>
        <v>0.05</v>
      </c>
      <c r="L35" s="28" cm="1">
        <f t="array" ref="L35">IF($I35&gt;$C$27,0,IF(BondIssuance="Tax-Exempt",_xlfn.XLOOKUP($I35,_xlfn.ANCHORARRAY($C$19), $E$19:$E$27,0,FALSE),_xlfn.XLOOKUP($I35,_xlfn.ANCHORARRAY($C$19), $G$19:$G$27,0,FALSE)))</f>
        <v>3.3399999999999999E-2</v>
      </c>
      <c r="M35" s="32">
        <f>IF(K35=L35,100,TRUNC(PRICE($D$8,I35,K35,L35,100,2,0),3))</f>
        <v>112.60299999999999</v>
      </c>
      <c r="N35" s="27">
        <f>IF($I35&lt;=LastPayoffDate,IF(M35&gt;0,O35*(M35/100)-O35,0),0)</f>
        <v>0</v>
      </c>
      <c r="O35" s="87">
        <f>-U$70</f>
        <v>0</v>
      </c>
      <c r="P35" s="29">
        <f t="shared" si="3"/>
        <v>0</v>
      </c>
      <c r="Q35" s="29">
        <f>SUM(O34:P35)</f>
        <v>0</v>
      </c>
      <c r="R35" s="29">
        <f t="shared" si="4"/>
        <v>0</v>
      </c>
      <c r="S35" s="29">
        <f>SUM(Q34:R35)</f>
        <v>0</v>
      </c>
      <c r="T35" s="29">
        <f>IF($I35&gt;LastPayoffDate,0, J35-S35)</f>
        <v>0</v>
      </c>
      <c r="U35" s="85" t="str">
        <f>IFERROR(J35/S35,"")</f>
        <v/>
      </c>
      <c r="W35" s="29">
        <f t="shared" si="5"/>
        <v>0</v>
      </c>
      <c r="X35" s="29">
        <f>ROUND(O35*(K35/2),99)</f>
        <v>0</v>
      </c>
      <c r="Y35" s="29">
        <f>ROUND(SUM(X35:X$35),2)</f>
        <v>0</v>
      </c>
      <c r="AA35"/>
      <c r="AB35"/>
      <c r="AC35"/>
      <c r="AD35"/>
      <c r="AE35"/>
      <c r="AF35"/>
      <c r="AG35"/>
      <c r="AH35"/>
      <c r="AI35"/>
    </row>
    <row r="36" spans="2:35" x14ac:dyDescent="0.35">
      <c r="C36" s="15"/>
      <c r="D36" s="50"/>
      <c r="E36" s="15"/>
      <c r="F36" s="15"/>
      <c r="G36" s="15"/>
      <c r="I36" s="19"/>
    </row>
    <row r="37" spans="2:35" x14ac:dyDescent="0.35">
      <c r="B37" s="45"/>
      <c r="C37" s="24"/>
      <c r="D37" s="50"/>
      <c r="E37" s="24"/>
      <c r="F37" s="24"/>
      <c r="G37" s="24"/>
      <c r="I37" s="19"/>
      <c r="J37" s="105"/>
      <c r="P37" s="35"/>
      <c r="Q37" s="45"/>
    </row>
    <row r="38" spans="2:35" x14ac:dyDescent="0.35">
      <c r="B38" s="70"/>
      <c r="C38" s="24"/>
      <c r="D38" s="50"/>
      <c r="E38" s="24"/>
      <c r="F38" s="24"/>
      <c r="G38" s="24"/>
      <c r="J38" s="105"/>
      <c r="L38" s="106"/>
      <c r="M38" s="104"/>
    </row>
    <row r="39" spans="2:35" x14ac:dyDescent="0.35">
      <c r="B39" s="44"/>
      <c r="D39" s="50"/>
      <c r="I39"/>
      <c r="J39" s="107"/>
      <c r="K39" s="108"/>
      <c r="L39" s="108"/>
      <c r="M39"/>
      <c r="N39"/>
      <c r="O39" s="96"/>
      <c r="P39"/>
      <c r="Q39"/>
      <c r="R39"/>
      <c r="S39"/>
      <c r="T39"/>
      <c r="U39"/>
      <c r="V39"/>
      <c r="W39"/>
      <c r="X39"/>
      <c r="Y39"/>
    </row>
    <row r="40" spans="2:35" x14ac:dyDescent="0.35">
      <c r="B40" s="19"/>
      <c r="D40" s="50"/>
      <c r="I40"/>
      <c r="J40" s="107"/>
      <c r="K40" s="109"/>
      <c r="L40" s="106"/>
      <c r="M40" s="110"/>
      <c r="N40"/>
      <c r="O40"/>
      <c r="P40"/>
      <c r="Q40"/>
      <c r="R40"/>
      <c r="S40"/>
      <c r="T40"/>
      <c r="U40"/>
      <c r="V40"/>
      <c r="W40"/>
      <c r="X40"/>
      <c r="Y40"/>
    </row>
    <row r="41" spans="2:35" ht="15" thickBot="1" x14ac:dyDescent="0.4">
      <c r="B41" s="19"/>
      <c r="I41"/>
      <c r="J41" s="107"/>
      <c r="K41" s="109"/>
      <c r="L41" s="106"/>
      <c r="M41"/>
      <c r="N41"/>
      <c r="O41"/>
      <c r="P41" s="98"/>
      <c r="Q41"/>
      <c r="R41"/>
      <c r="S41"/>
      <c r="T41"/>
      <c r="U41"/>
      <c r="V41"/>
      <c r="W41"/>
      <c r="X41"/>
      <c r="Y41"/>
    </row>
    <row r="42" spans="2:35" x14ac:dyDescent="0.35">
      <c r="C42" s="80" t="s">
        <v>53</v>
      </c>
      <c r="D42" s="78">
        <v>5000</v>
      </c>
      <c r="F42" s="74" t="str" cm="1">
        <f t="array" ref="F42:F43">{"Tax-Exempt";"Taxable"}</f>
        <v>Tax-Exempt</v>
      </c>
      <c r="H42" s="55"/>
      <c r="I42"/>
      <c r="J42" s="107"/>
      <c r="K42"/>
      <c r="L42"/>
      <c r="M42"/>
      <c r="N42"/>
      <c r="O42" s="98"/>
      <c r="P42"/>
      <c r="Q42"/>
      <c r="R42"/>
      <c r="S42"/>
      <c r="T42"/>
      <c r="U42"/>
      <c r="V42"/>
      <c r="W42"/>
      <c r="X42"/>
      <c r="Y42"/>
    </row>
    <row r="43" spans="2:35" ht="15" thickBot="1" x14ac:dyDescent="0.4">
      <c r="C43" s="98" t="s">
        <v>56</v>
      </c>
      <c r="D43" s="99">
        <f>DATEDIF(DATE(2026,7,1), MaxDeliveryDate, "M")+1</f>
        <v>91</v>
      </c>
      <c r="F43" s="75" t="str">
        <v>Taxable</v>
      </c>
      <c r="H43" s="55"/>
      <c r="I43"/>
      <c r="J43" s="108"/>
      <c r="K43"/>
      <c r="L43"/>
      <c r="M43"/>
      <c r="N43"/>
      <c r="O43" s="98"/>
      <c r="P43"/>
      <c r="Q43"/>
      <c r="R43"/>
      <c r="S43"/>
      <c r="T43"/>
      <c r="U43"/>
      <c r="V43"/>
      <c r="W43"/>
      <c r="X43"/>
      <c r="Y43"/>
    </row>
    <row r="44" spans="2:35" ht="15" thickBot="1" x14ac:dyDescent="0.4">
      <c r="H44" s="55"/>
      <c r="I44"/>
      <c r="J44"/>
      <c r="M44" s="121" t="s">
        <v>76</v>
      </c>
      <c r="N44"/>
      <c r="O44"/>
      <c r="P44"/>
      <c r="Q44"/>
      <c r="R44"/>
      <c r="S44"/>
      <c r="T44"/>
      <c r="U44"/>
      <c r="V44"/>
      <c r="W44"/>
      <c r="X44"/>
      <c r="Y44"/>
    </row>
    <row r="45" spans="2:35" ht="29.5" thickBot="1" x14ac:dyDescent="0.4">
      <c r="B45" s="22" t="s">
        <v>48</v>
      </c>
      <c r="C45" s="22" t="s">
        <v>49</v>
      </c>
      <c r="D45" s="48" t="s">
        <v>80</v>
      </c>
      <c r="F45" s="22" t="s">
        <v>51</v>
      </c>
      <c r="H45" s="55"/>
      <c r="I45" s="25"/>
      <c r="M45" s="133"/>
      <c r="N45" s="134" t="s">
        <v>57</v>
      </c>
      <c r="O45" s="134" t="s">
        <v>58</v>
      </c>
      <c r="P45" s="134" t="s">
        <v>65</v>
      </c>
      <c r="Q45" s="135" t="s">
        <v>66</v>
      </c>
      <c r="R45" s="135" t="s">
        <v>67</v>
      </c>
      <c r="S45" s="135" t="s">
        <v>70</v>
      </c>
      <c r="T45" s="136" t="s">
        <v>59</v>
      </c>
    </row>
    <row r="46" spans="2:35" x14ac:dyDescent="0.35">
      <c r="B46" s="64" cm="1">
        <f t="array" ref="B46:B165">EDATE(DATE(2026,1,1), _xlfn.SEQUENCE(120,1,0,1))</f>
        <v>46023</v>
      </c>
      <c r="C46" s="65" cm="1">
        <f t="array" ref="C46:C165">EDATE(EDATE($B46,10), _xlfn.SEQUENCE(120,1,0,1))</f>
        <v>46327</v>
      </c>
      <c r="D46" s="76">
        <v>1200000</v>
      </c>
      <c r="F46" s="71" cm="1">
        <f t="array" ref="F46:F136">EDATE(DATE(2026,7,1), _xlfn.SEQUENCE(Num_Periods,1,0,1))</f>
        <v>46204</v>
      </c>
      <c r="H46" s="55"/>
      <c r="I46" s="25"/>
      <c r="M46" s="137" cm="1">
        <f t="array" ref="M46:M54">_xlfn.ANCHORARRAY(C19)</f>
        <v>47270</v>
      </c>
      <c r="N46" s="88" cm="1">
        <f t="array" ref="N46:N54">_xlfn.XLOOKUP(_xlfn.ANCHORARRAY($M46),_xlfn.ANCHORARRAY( $C$46), $D$46:$D165, 0, FALSE)</f>
        <v>1200000</v>
      </c>
      <c r="O46" s="84" cm="1">
        <f t="array" ref="O46:O54">_xlfn.SEQUENCE(9,1,$D$14,0)</f>
        <v>1.1000000000000001</v>
      </c>
      <c r="P46" s="138" cm="1">
        <f t="array" ref="P46:P54">IF(BondIssuance="Tax-Exempt", D19:D27, F19:F27)</f>
        <v>0.05</v>
      </c>
      <c r="Q46" s="120" cm="1">
        <f t="array" ref="Q46:Q54">(D12/12)*IF($M$46:$M$54&lt;&gt;0,1,0)</f>
        <v>0.25</v>
      </c>
      <c r="R46" s="139" cm="1">
        <f t="array" ref="R46:R54">D13*IF($M$46:$M$54&lt;&gt;0,1,0)</f>
        <v>0.02</v>
      </c>
      <c r="S46" s="88">
        <f>PV_Increment</f>
        <v>5000</v>
      </c>
      <c r="T46" s="116">
        <f>$D$9</f>
        <v>10</v>
      </c>
    </row>
    <row r="47" spans="2:35" x14ac:dyDescent="0.35">
      <c r="B47" s="66">
        <v>46054</v>
      </c>
      <c r="C47" s="67">
        <v>46357</v>
      </c>
      <c r="D47" s="76">
        <v>1200000</v>
      </c>
      <c r="F47" s="72">
        <v>46235</v>
      </c>
      <c r="H47" s="55"/>
      <c r="I47" s="25"/>
      <c r="M47" s="137">
        <v>47635</v>
      </c>
      <c r="N47" s="88">
        <v>1200000</v>
      </c>
      <c r="O47" s="84">
        <v>1.1000000000000001</v>
      </c>
      <c r="P47" s="138">
        <v>0.05</v>
      </c>
      <c r="Q47" s="120">
        <v>0.25</v>
      </c>
      <c r="R47" s="139">
        <v>0.02</v>
      </c>
      <c r="S47" s="88">
        <f t="shared" ref="S47:S54" si="8">PV_Increment</f>
        <v>5000</v>
      </c>
      <c r="T47" s="116">
        <v>12</v>
      </c>
    </row>
    <row r="48" spans="2:35" x14ac:dyDescent="0.35">
      <c r="B48" s="66">
        <v>46082</v>
      </c>
      <c r="C48" s="67">
        <v>46388</v>
      </c>
      <c r="D48" s="76">
        <v>1200000</v>
      </c>
      <c r="F48" s="72">
        <v>46266</v>
      </c>
      <c r="H48" s="55"/>
      <c r="I48" s="25"/>
      <c r="M48" s="137">
        <v>48000</v>
      </c>
      <c r="N48" s="88">
        <v>1200000</v>
      </c>
      <c r="O48" s="84">
        <v>1.1000000000000001</v>
      </c>
      <c r="P48" s="138">
        <v>0.05</v>
      </c>
      <c r="Q48" s="120">
        <v>0.25</v>
      </c>
      <c r="R48" s="139">
        <v>0.02</v>
      </c>
      <c r="S48" s="88">
        <f t="shared" si="8"/>
        <v>5000</v>
      </c>
      <c r="T48" s="116">
        <v>12</v>
      </c>
    </row>
    <row r="49" spans="2:21" x14ac:dyDescent="0.35">
      <c r="B49" s="66">
        <v>46113</v>
      </c>
      <c r="C49" s="67">
        <v>46419</v>
      </c>
      <c r="D49" s="76">
        <v>1200000</v>
      </c>
      <c r="F49" s="72">
        <v>46296</v>
      </c>
      <c r="H49" s="55"/>
      <c r="I49" s="25"/>
      <c r="M49" s="137">
        <v>48366</v>
      </c>
      <c r="N49" s="88">
        <v>1200000</v>
      </c>
      <c r="O49" s="84">
        <v>1.1000000000000001</v>
      </c>
      <c r="P49" s="138">
        <v>0.05</v>
      </c>
      <c r="Q49" s="120">
        <v>0.25</v>
      </c>
      <c r="R49" s="139">
        <v>0.02</v>
      </c>
      <c r="S49" s="88">
        <f t="shared" si="8"/>
        <v>5000</v>
      </c>
      <c r="T49" s="116">
        <v>12</v>
      </c>
    </row>
    <row r="50" spans="2:21" x14ac:dyDescent="0.35">
      <c r="B50" s="66">
        <v>46143</v>
      </c>
      <c r="C50" s="67">
        <v>46447</v>
      </c>
      <c r="D50" s="76">
        <v>1200000</v>
      </c>
      <c r="F50" s="72">
        <v>46327</v>
      </c>
      <c r="H50" s="55"/>
      <c r="I50" s="25"/>
      <c r="M50" s="137">
        <v>48731</v>
      </c>
      <c r="N50" s="88">
        <v>1200000</v>
      </c>
      <c r="O50" s="84">
        <v>1.1000000000000001</v>
      </c>
      <c r="P50" s="138">
        <v>0.05</v>
      </c>
      <c r="Q50" s="120">
        <v>0.25</v>
      </c>
      <c r="R50" s="139">
        <v>0.02</v>
      </c>
      <c r="S50" s="88">
        <f t="shared" si="8"/>
        <v>5000</v>
      </c>
      <c r="T50" s="116">
        <v>12</v>
      </c>
    </row>
    <row r="51" spans="2:21" x14ac:dyDescent="0.35">
      <c r="B51" s="66">
        <v>46174</v>
      </c>
      <c r="C51" s="67">
        <v>46478</v>
      </c>
      <c r="D51" s="76">
        <v>1200000</v>
      </c>
      <c r="F51" s="72">
        <v>46357</v>
      </c>
      <c r="H51" s="55"/>
      <c r="I51" s="25"/>
      <c r="M51" s="137">
        <v>49096</v>
      </c>
      <c r="N51" s="88">
        <v>1200000</v>
      </c>
      <c r="O51" s="84">
        <v>1.1000000000000001</v>
      </c>
      <c r="P51" s="138">
        <v>0.05</v>
      </c>
      <c r="Q51" s="120">
        <v>0.25</v>
      </c>
      <c r="R51" s="139">
        <v>0.02</v>
      </c>
      <c r="S51" s="88">
        <f t="shared" si="8"/>
        <v>5000</v>
      </c>
      <c r="T51" s="116">
        <v>12</v>
      </c>
    </row>
    <row r="52" spans="2:21" x14ac:dyDescent="0.35">
      <c r="B52" s="66">
        <v>46204</v>
      </c>
      <c r="C52" s="67">
        <v>46508</v>
      </c>
      <c r="D52" s="76">
        <v>1200000</v>
      </c>
      <c r="F52" s="72">
        <v>46388</v>
      </c>
      <c r="H52" s="55"/>
      <c r="I52" s="25"/>
      <c r="M52" s="137">
        <v>49461</v>
      </c>
      <c r="N52" s="88">
        <v>1200000</v>
      </c>
      <c r="O52" s="84">
        <v>1.1000000000000001</v>
      </c>
      <c r="P52" s="138">
        <v>0.05</v>
      </c>
      <c r="Q52" s="120">
        <v>0.25</v>
      </c>
      <c r="R52" s="139">
        <v>0.02</v>
      </c>
      <c r="S52" s="88">
        <f t="shared" si="8"/>
        <v>5000</v>
      </c>
      <c r="T52" s="116">
        <v>12</v>
      </c>
    </row>
    <row r="53" spans="2:21" x14ac:dyDescent="0.35">
      <c r="B53" s="66">
        <v>46235</v>
      </c>
      <c r="C53" s="67">
        <v>46539</v>
      </c>
      <c r="D53" s="76">
        <v>1200000</v>
      </c>
      <c r="F53" s="72">
        <v>46419</v>
      </c>
      <c r="H53" s="55"/>
      <c r="I53" s="25"/>
      <c r="M53" s="137">
        <v>49827</v>
      </c>
      <c r="N53" s="88">
        <v>300000</v>
      </c>
      <c r="O53" s="84">
        <v>1.1000000000000001</v>
      </c>
      <c r="P53" s="138">
        <v>0.05</v>
      </c>
      <c r="Q53" s="120">
        <v>0.25</v>
      </c>
      <c r="R53" s="84">
        <v>0.02</v>
      </c>
      <c r="S53" s="88">
        <f t="shared" si="8"/>
        <v>5000</v>
      </c>
      <c r="T53" s="116">
        <v>12</v>
      </c>
    </row>
    <row r="54" spans="2:21" ht="15" thickBot="1" x14ac:dyDescent="0.4">
      <c r="B54" s="66">
        <v>46266</v>
      </c>
      <c r="C54" s="67">
        <v>46569</v>
      </c>
      <c r="D54" s="76">
        <v>1200000</v>
      </c>
      <c r="F54" s="72">
        <v>46447</v>
      </c>
      <c r="H54" s="55"/>
      <c r="I54" s="25"/>
      <c r="M54" s="140">
        <v>50192</v>
      </c>
      <c r="N54" s="118">
        <v>0</v>
      </c>
      <c r="O54" s="141">
        <v>1.1000000000000001</v>
      </c>
      <c r="P54" s="142">
        <v>0.05</v>
      </c>
      <c r="Q54" s="143">
        <v>0.25</v>
      </c>
      <c r="R54" s="141">
        <v>0.02</v>
      </c>
      <c r="S54" s="118">
        <f t="shared" si="8"/>
        <v>5000</v>
      </c>
      <c r="T54" s="119">
        <v>12</v>
      </c>
    </row>
    <row r="55" spans="2:21" x14ac:dyDescent="0.35">
      <c r="B55" s="66">
        <v>46296</v>
      </c>
      <c r="C55" s="67">
        <v>46600</v>
      </c>
      <c r="D55" s="76">
        <v>1200000</v>
      </c>
      <c r="F55" s="72">
        <v>46478</v>
      </c>
      <c r="H55" s="55"/>
      <c r="I55" s="25"/>
    </row>
    <row r="56" spans="2:21" x14ac:dyDescent="0.35">
      <c r="B56" s="66">
        <v>46327</v>
      </c>
      <c r="C56" s="67">
        <v>46631</v>
      </c>
      <c r="D56" s="76">
        <v>1200000</v>
      </c>
      <c r="F56" s="72">
        <v>46508</v>
      </c>
      <c r="H56" s="55"/>
      <c r="I56" s="25"/>
    </row>
    <row r="57" spans="2:21" ht="15" thickBot="1" x14ac:dyDescent="0.4">
      <c r="B57" s="66">
        <v>46357</v>
      </c>
      <c r="C57" s="67">
        <v>46661</v>
      </c>
      <c r="D57" s="76">
        <v>1200000</v>
      </c>
      <c r="F57" s="72">
        <v>46539</v>
      </c>
      <c r="H57" s="55"/>
      <c r="I57" s="25"/>
      <c r="M57" s="121" t="s">
        <v>79</v>
      </c>
    </row>
    <row r="58" spans="2:21" x14ac:dyDescent="0.35">
      <c r="B58" s="66">
        <v>46388</v>
      </c>
      <c r="C58" s="67">
        <v>46692</v>
      </c>
      <c r="D58" s="76">
        <v>1200000</v>
      </c>
      <c r="F58" s="72">
        <v>46569</v>
      </c>
      <c r="H58" s="55"/>
      <c r="I58" s="25"/>
      <c r="K58" s="130" t="s">
        <v>63</v>
      </c>
      <c r="M58" s="122" cm="1">
        <f t="array" ref="M58:U65">TRANSPOSE(M46:T54)</f>
        <v>47270</v>
      </c>
      <c r="N58" s="123">
        <v>47635</v>
      </c>
      <c r="O58" s="123">
        <v>48000</v>
      </c>
      <c r="P58" s="123">
        <v>48366</v>
      </c>
      <c r="Q58" s="123">
        <v>48731</v>
      </c>
      <c r="R58" s="123">
        <v>49096</v>
      </c>
      <c r="S58" s="123">
        <v>49461</v>
      </c>
      <c r="T58" s="123">
        <v>49827</v>
      </c>
      <c r="U58" s="124">
        <v>50192</v>
      </c>
    </row>
    <row r="59" spans="2:21" x14ac:dyDescent="0.35">
      <c r="B59" s="66">
        <v>46419</v>
      </c>
      <c r="C59" s="67">
        <v>46722</v>
      </c>
      <c r="D59" s="76">
        <v>1200000</v>
      </c>
      <c r="F59" s="72">
        <v>46600</v>
      </c>
      <c r="H59" s="55"/>
      <c r="I59" s="25"/>
      <c r="K59" s="130" t="s">
        <v>57</v>
      </c>
      <c r="M59" s="115">
        <v>1200000</v>
      </c>
      <c r="N59" s="88">
        <v>1200000</v>
      </c>
      <c r="O59" s="88">
        <v>1200000</v>
      </c>
      <c r="P59" s="88">
        <v>1200000</v>
      </c>
      <c r="Q59" s="88">
        <v>1200000</v>
      </c>
      <c r="R59" s="88">
        <v>1200000</v>
      </c>
      <c r="S59" s="88">
        <v>1200000</v>
      </c>
      <c r="T59" s="88">
        <v>300000</v>
      </c>
      <c r="U59" s="116">
        <v>0</v>
      </c>
    </row>
    <row r="60" spans="2:21" x14ac:dyDescent="0.35">
      <c r="B60" s="66">
        <v>46447</v>
      </c>
      <c r="C60" s="67">
        <v>46753</v>
      </c>
      <c r="D60" s="76">
        <v>1200000</v>
      </c>
      <c r="F60" s="72">
        <v>46631</v>
      </c>
      <c r="H60" s="55"/>
      <c r="I60" s="25"/>
      <c r="K60" s="130" t="s">
        <v>58</v>
      </c>
      <c r="M60" s="125">
        <v>1.1000000000000001</v>
      </c>
      <c r="N60" s="84">
        <v>1.1000000000000001</v>
      </c>
      <c r="O60" s="84">
        <v>1.1000000000000001</v>
      </c>
      <c r="P60" s="84">
        <v>1.1000000000000001</v>
      </c>
      <c r="Q60" s="84">
        <v>1.1000000000000001</v>
      </c>
      <c r="R60" s="84">
        <v>1.1000000000000001</v>
      </c>
      <c r="S60" s="84">
        <v>1.1000000000000001</v>
      </c>
      <c r="T60" s="84">
        <v>1.1000000000000001</v>
      </c>
      <c r="U60" s="126">
        <v>1.1000000000000001</v>
      </c>
    </row>
    <row r="61" spans="2:21" x14ac:dyDescent="0.35">
      <c r="B61" s="66">
        <v>46478</v>
      </c>
      <c r="C61" s="67">
        <v>46784</v>
      </c>
      <c r="D61" s="76">
        <v>1200000</v>
      </c>
      <c r="F61" s="72">
        <v>46661</v>
      </c>
      <c r="H61" s="55"/>
      <c r="I61" s="25"/>
      <c r="K61" s="130" t="s">
        <v>65</v>
      </c>
      <c r="M61" s="125">
        <v>0.05</v>
      </c>
      <c r="N61" s="84">
        <v>0.05</v>
      </c>
      <c r="O61" s="84">
        <v>0.05</v>
      </c>
      <c r="P61" s="84">
        <v>0.05</v>
      </c>
      <c r="Q61" s="84">
        <v>0.05</v>
      </c>
      <c r="R61" s="84">
        <v>0.05</v>
      </c>
      <c r="S61" s="84">
        <v>0.05</v>
      </c>
      <c r="T61" s="84">
        <v>0.05</v>
      </c>
      <c r="U61" s="126">
        <v>0.05</v>
      </c>
    </row>
    <row r="62" spans="2:21" x14ac:dyDescent="0.35">
      <c r="B62" s="66">
        <v>46508</v>
      </c>
      <c r="C62" s="67">
        <v>46813</v>
      </c>
      <c r="D62" s="76">
        <v>1200000</v>
      </c>
      <c r="F62" s="72">
        <v>46692</v>
      </c>
      <c r="H62" s="55"/>
      <c r="I62" s="25"/>
      <c r="K62" s="130" t="s">
        <v>68</v>
      </c>
      <c r="M62" s="125">
        <v>0.25</v>
      </c>
      <c r="N62" s="84">
        <v>0.25</v>
      </c>
      <c r="O62" s="84">
        <v>0.25</v>
      </c>
      <c r="P62" s="84">
        <v>0.25</v>
      </c>
      <c r="Q62" s="84">
        <v>0.25</v>
      </c>
      <c r="R62" s="84">
        <v>0.25</v>
      </c>
      <c r="S62" s="84">
        <v>0.25</v>
      </c>
      <c r="T62" s="84">
        <v>0.25</v>
      </c>
      <c r="U62" s="126">
        <v>0.25</v>
      </c>
    </row>
    <row r="63" spans="2:21" x14ac:dyDescent="0.35">
      <c r="B63" s="66">
        <v>46539</v>
      </c>
      <c r="C63" s="67">
        <v>46844</v>
      </c>
      <c r="D63" s="76">
        <v>1200000</v>
      </c>
      <c r="F63" s="72">
        <v>46722</v>
      </c>
      <c r="H63" s="55"/>
      <c r="I63" s="25"/>
      <c r="K63" s="130" t="s">
        <v>69</v>
      </c>
      <c r="M63" s="125">
        <v>0.02</v>
      </c>
      <c r="N63" s="84">
        <v>0.02</v>
      </c>
      <c r="O63" s="84">
        <v>0.02</v>
      </c>
      <c r="P63" s="84">
        <v>0.02</v>
      </c>
      <c r="Q63" s="84">
        <v>0.02</v>
      </c>
      <c r="R63" s="84">
        <v>0.02</v>
      </c>
      <c r="S63" s="84">
        <v>0.02</v>
      </c>
      <c r="T63" s="84">
        <v>0.02</v>
      </c>
      <c r="U63" s="126">
        <v>0.02</v>
      </c>
    </row>
    <row r="64" spans="2:21" x14ac:dyDescent="0.35">
      <c r="B64" s="66">
        <v>46569</v>
      </c>
      <c r="C64" s="67">
        <v>46874</v>
      </c>
      <c r="D64" s="76">
        <v>1200000</v>
      </c>
      <c r="F64" s="72">
        <v>46753</v>
      </c>
      <c r="H64" s="55"/>
      <c r="I64" s="25"/>
      <c r="K64" s="130" t="s">
        <v>71</v>
      </c>
      <c r="M64" s="115">
        <v>5000</v>
      </c>
      <c r="N64" s="88">
        <v>5000</v>
      </c>
      <c r="O64" s="88">
        <v>5000</v>
      </c>
      <c r="P64" s="88">
        <v>5000</v>
      </c>
      <c r="Q64" s="88">
        <v>5000</v>
      </c>
      <c r="R64" s="88">
        <v>5000</v>
      </c>
      <c r="S64" s="88">
        <v>5000</v>
      </c>
      <c r="T64" s="88">
        <v>5000</v>
      </c>
      <c r="U64" s="116">
        <v>5000</v>
      </c>
    </row>
    <row r="65" spans="2:28" ht="15" thickBot="1" x14ac:dyDescent="0.4">
      <c r="B65" s="66">
        <v>46600</v>
      </c>
      <c r="C65" s="67">
        <v>46905</v>
      </c>
      <c r="D65" s="76">
        <v>1200000</v>
      </c>
      <c r="F65" s="72">
        <v>46784</v>
      </c>
      <c r="H65" s="55"/>
      <c r="I65" s="25"/>
      <c r="K65" s="130" t="s">
        <v>64</v>
      </c>
      <c r="M65" s="117">
        <v>10</v>
      </c>
      <c r="N65" s="118">
        <v>12</v>
      </c>
      <c r="O65" s="118">
        <v>12</v>
      </c>
      <c r="P65" s="118">
        <v>12</v>
      </c>
      <c r="Q65" s="118">
        <v>12</v>
      </c>
      <c r="R65" s="118">
        <v>12</v>
      </c>
      <c r="S65" s="118">
        <v>12</v>
      </c>
      <c r="T65" s="118">
        <v>12</v>
      </c>
      <c r="U65" s="119">
        <v>12</v>
      </c>
    </row>
    <row r="66" spans="2:28" x14ac:dyDescent="0.35">
      <c r="B66" s="66">
        <v>46631</v>
      </c>
      <c r="C66" s="67">
        <v>46935</v>
      </c>
      <c r="D66" s="76">
        <v>1200000</v>
      </c>
      <c r="F66" s="72">
        <v>46813</v>
      </c>
      <c r="H66" s="55"/>
      <c r="I66" s="25"/>
      <c r="K66" s="88"/>
    </row>
    <row r="67" spans="2:28" ht="15" thickBot="1" x14ac:dyDescent="0.4">
      <c r="B67" s="66">
        <v>46661</v>
      </c>
      <c r="C67" s="67">
        <v>46966</v>
      </c>
      <c r="D67" s="76">
        <v>1200000</v>
      </c>
      <c r="F67" s="72">
        <v>46844</v>
      </c>
      <c r="H67" s="55"/>
      <c r="I67" s="25"/>
      <c r="K67" s="88"/>
      <c r="M67" s="5" t="s">
        <v>78</v>
      </c>
    </row>
    <row r="68" spans="2:28" x14ac:dyDescent="0.35">
      <c r="B68" s="66">
        <v>46692</v>
      </c>
      <c r="C68" s="67">
        <v>46997</v>
      </c>
      <c r="D68" s="76">
        <v>1200000</v>
      </c>
      <c r="F68" s="72">
        <v>46874</v>
      </c>
      <c r="H68" s="55"/>
      <c r="K68" s="130" t="s">
        <v>60</v>
      </c>
      <c r="M68" s="112" cm="1">
        <f t="array" ref="M68:U74">fx.DebtSizeIssueλ(M59:U59,M60:U60,M61:U61,M62:U62,M63:U63,M64:U64,M65:U65,M58:U58,LastPayoffDate)</f>
        <v>6645000</v>
      </c>
      <c r="N68" s="113">
        <v>5830000</v>
      </c>
      <c r="O68" s="113">
        <v>5025000</v>
      </c>
      <c r="P68" s="113">
        <v>4180000</v>
      </c>
      <c r="Q68" s="113">
        <v>3295000</v>
      </c>
      <c r="R68" s="113">
        <v>2365000</v>
      </c>
      <c r="S68" s="113">
        <v>1390000</v>
      </c>
      <c r="T68" s="113">
        <v>0</v>
      </c>
      <c r="U68" s="114">
        <v>0</v>
      </c>
      <c r="W68" s="111"/>
    </row>
    <row r="69" spans="2:28" x14ac:dyDescent="0.35">
      <c r="B69" s="66">
        <v>46722</v>
      </c>
      <c r="C69" s="67">
        <v>47027</v>
      </c>
      <c r="D69" s="76">
        <v>1200000</v>
      </c>
      <c r="F69" s="72">
        <v>46905</v>
      </c>
      <c r="H69" s="55"/>
      <c r="K69" s="130" t="s">
        <v>72</v>
      </c>
      <c r="M69" s="115">
        <v>276875</v>
      </c>
      <c r="N69" s="88">
        <v>291500</v>
      </c>
      <c r="O69" s="88">
        <v>251250</v>
      </c>
      <c r="P69" s="88">
        <v>209000</v>
      </c>
      <c r="Q69" s="88">
        <v>164750</v>
      </c>
      <c r="R69" s="88">
        <v>118250</v>
      </c>
      <c r="S69" s="88">
        <v>69500</v>
      </c>
      <c r="T69" s="88">
        <v>0</v>
      </c>
      <c r="U69" s="116">
        <v>0</v>
      </c>
      <c r="Y69" s="111">
        <f>SUM(M69:U69)</f>
        <v>1381125</v>
      </c>
      <c r="AA69"/>
      <c r="AB69"/>
    </row>
    <row r="70" spans="2:28" x14ac:dyDescent="0.35">
      <c r="B70" s="66">
        <v>46753</v>
      </c>
      <c r="C70" s="67">
        <v>47058</v>
      </c>
      <c r="D70" s="76">
        <v>1200000</v>
      </c>
      <c r="F70" s="72">
        <v>46935</v>
      </c>
      <c r="H70" s="55"/>
      <c r="K70" s="130" t="s">
        <v>61</v>
      </c>
      <c r="M70" s="127">
        <v>-815000</v>
      </c>
      <c r="N70" s="128">
        <v>-805000</v>
      </c>
      <c r="O70" s="128">
        <v>-845000</v>
      </c>
      <c r="P70" s="128">
        <v>-885000</v>
      </c>
      <c r="Q70" s="128">
        <v>-930000</v>
      </c>
      <c r="R70" s="128">
        <v>-975000</v>
      </c>
      <c r="S70" s="128">
        <v>-1390000</v>
      </c>
      <c r="T70" s="128">
        <v>0</v>
      </c>
      <c r="U70" s="129">
        <v>0</v>
      </c>
      <c r="V70" s="101" t="s">
        <v>77</v>
      </c>
      <c r="Y70" s="111">
        <f>SUM(M70:U70)</f>
        <v>-6645000</v>
      </c>
      <c r="AA70"/>
      <c r="AB70"/>
    </row>
    <row r="71" spans="2:28" x14ac:dyDescent="0.35">
      <c r="B71" s="66">
        <v>46784</v>
      </c>
      <c r="C71" s="67">
        <v>47088</v>
      </c>
      <c r="D71" s="76">
        <v>1200000</v>
      </c>
      <c r="F71" s="72">
        <v>46966</v>
      </c>
      <c r="H71" s="55"/>
      <c r="K71" s="130" t="s">
        <v>62</v>
      </c>
      <c r="M71" s="115">
        <v>5830000</v>
      </c>
      <c r="N71" s="88">
        <v>5025000</v>
      </c>
      <c r="O71" s="88">
        <v>4180000</v>
      </c>
      <c r="P71" s="88">
        <v>3295000</v>
      </c>
      <c r="Q71" s="88">
        <v>2365000</v>
      </c>
      <c r="R71" s="88">
        <v>1390000</v>
      </c>
      <c r="S71" s="88">
        <v>0</v>
      </c>
      <c r="T71" s="88">
        <v>0</v>
      </c>
      <c r="U71" s="116">
        <v>0</v>
      </c>
      <c r="Y71" s="111"/>
      <c r="AA71"/>
      <c r="AB71"/>
    </row>
    <row r="72" spans="2:28" x14ac:dyDescent="0.35">
      <c r="B72" s="66">
        <v>46813</v>
      </c>
      <c r="C72" s="67">
        <v>47119</v>
      </c>
      <c r="D72" s="76">
        <v>1200000</v>
      </c>
      <c r="F72" s="72">
        <v>46997</v>
      </c>
      <c r="H72" s="55"/>
      <c r="K72" s="130" t="s">
        <v>73</v>
      </c>
      <c r="M72" s="115">
        <v>1091875</v>
      </c>
      <c r="N72" s="88">
        <v>1096500</v>
      </c>
      <c r="O72" s="88">
        <v>1096250</v>
      </c>
      <c r="P72" s="88">
        <v>1094000</v>
      </c>
      <c r="Q72" s="88">
        <v>1094750</v>
      </c>
      <c r="R72" s="88">
        <v>1093250</v>
      </c>
      <c r="S72" s="88">
        <v>1459500</v>
      </c>
      <c r="T72" s="88">
        <v>0</v>
      </c>
      <c r="U72" s="116">
        <v>0</v>
      </c>
      <c r="Y72" s="111">
        <f>SUM(M72:U72)</f>
        <v>8026125</v>
      </c>
      <c r="AA72"/>
      <c r="AB72"/>
    </row>
    <row r="73" spans="2:28" x14ac:dyDescent="0.35">
      <c r="B73" s="66">
        <v>46844</v>
      </c>
      <c r="C73" s="67">
        <v>47150</v>
      </c>
      <c r="D73" s="76">
        <v>1200000</v>
      </c>
      <c r="F73" s="72">
        <v>47027</v>
      </c>
      <c r="H73" s="55"/>
      <c r="K73" s="130" t="s">
        <v>74</v>
      </c>
      <c r="M73" s="115">
        <v>-6081.25</v>
      </c>
      <c r="N73" s="88">
        <v>-7297.5</v>
      </c>
      <c r="O73" s="88">
        <v>-7297.5</v>
      </c>
      <c r="P73" s="88">
        <v>-7297.5</v>
      </c>
      <c r="Q73" s="88">
        <v>-7297.5</v>
      </c>
      <c r="R73" s="88">
        <v>-7297.5</v>
      </c>
      <c r="S73" s="88">
        <v>-372172.5</v>
      </c>
      <c r="T73" s="88">
        <v>0</v>
      </c>
      <c r="U73" s="116">
        <v>0</v>
      </c>
      <c r="Y73" s="111">
        <f>SUM(M73:U73)</f>
        <v>-414741.25</v>
      </c>
      <c r="AA73"/>
      <c r="AB73"/>
    </row>
    <row r="74" spans="2:28" ht="15" thickBot="1" x14ac:dyDescent="0.4">
      <c r="B74" s="66">
        <v>46874</v>
      </c>
      <c r="C74" s="67">
        <v>47178</v>
      </c>
      <c r="D74" s="76">
        <v>1200000</v>
      </c>
      <c r="F74" s="72">
        <v>47058</v>
      </c>
      <c r="H74" s="55"/>
      <c r="K74" s="130" t="s">
        <v>75</v>
      </c>
      <c r="M74" s="117">
        <v>1085793.75</v>
      </c>
      <c r="N74" s="118">
        <v>1089202.5</v>
      </c>
      <c r="O74" s="118">
        <v>1088952.5</v>
      </c>
      <c r="P74" s="118">
        <v>1086702.5</v>
      </c>
      <c r="Q74" s="118">
        <v>1087452.5</v>
      </c>
      <c r="R74" s="118">
        <v>1085952.5</v>
      </c>
      <c r="S74" s="118">
        <v>1087327.5</v>
      </c>
      <c r="T74" s="118">
        <v>0</v>
      </c>
      <c r="U74" s="119">
        <v>0</v>
      </c>
      <c r="Y74" s="111">
        <f>SUM(M74:U74)</f>
        <v>7611383.75</v>
      </c>
      <c r="AA74"/>
      <c r="AB74"/>
    </row>
    <row r="75" spans="2:28" x14ac:dyDescent="0.35">
      <c r="B75" s="66">
        <v>46905</v>
      </c>
      <c r="C75" s="67">
        <v>47209</v>
      </c>
      <c r="D75" s="76">
        <v>1200000</v>
      </c>
      <c r="F75" s="72">
        <v>47088</v>
      </c>
      <c r="H75" s="55"/>
    </row>
    <row r="76" spans="2:28" x14ac:dyDescent="0.35">
      <c r="B76" s="66">
        <v>46935</v>
      </c>
      <c r="C76" s="67">
        <v>47239</v>
      </c>
      <c r="D76" s="76">
        <v>1200000</v>
      </c>
      <c r="F76" s="72">
        <v>47119</v>
      </c>
      <c r="H76" s="55"/>
      <c r="M76"/>
      <c r="N76"/>
      <c r="O76"/>
      <c r="P76"/>
      <c r="Q76"/>
      <c r="R76"/>
      <c r="S76"/>
      <c r="T76"/>
      <c r="U76"/>
    </row>
    <row r="77" spans="2:28" x14ac:dyDescent="0.35">
      <c r="B77" s="66">
        <v>46966</v>
      </c>
      <c r="C77" s="67">
        <v>47270</v>
      </c>
      <c r="D77" s="76">
        <v>1200000</v>
      </c>
      <c r="F77" s="72">
        <v>47150</v>
      </c>
      <c r="H77" s="55"/>
      <c r="K77" s="130"/>
      <c r="L77"/>
      <c r="M77"/>
      <c r="N77"/>
      <c r="O77"/>
      <c r="P77"/>
      <c r="Q77"/>
      <c r="R77"/>
      <c r="S77"/>
      <c r="T77"/>
      <c r="U77"/>
      <c r="V77"/>
      <c r="W77"/>
    </row>
    <row r="78" spans="2:28" x14ac:dyDescent="0.35">
      <c r="B78" s="66">
        <v>46997</v>
      </c>
      <c r="C78" s="67">
        <v>47300</v>
      </c>
      <c r="D78" s="76">
        <v>1200000</v>
      </c>
      <c r="F78" s="72">
        <v>47178</v>
      </c>
      <c r="H78" s="55"/>
      <c r="K78" s="130"/>
      <c r="L78"/>
      <c r="M78"/>
      <c r="N78"/>
      <c r="O78"/>
      <c r="P78"/>
      <c r="Q78"/>
      <c r="R78"/>
      <c r="S78"/>
      <c r="T78"/>
      <c r="U78"/>
      <c r="V78"/>
      <c r="W78"/>
    </row>
    <row r="79" spans="2:28" x14ac:dyDescent="0.35">
      <c r="B79" s="66">
        <v>47027</v>
      </c>
      <c r="C79" s="67">
        <v>47331</v>
      </c>
      <c r="D79" s="76">
        <v>1200000</v>
      </c>
      <c r="F79" s="72">
        <v>47209</v>
      </c>
      <c r="H79" s="55"/>
      <c r="K79" s="130"/>
      <c r="L79"/>
      <c r="M79"/>
      <c r="N79"/>
      <c r="O79"/>
      <c r="P79"/>
      <c r="Q79"/>
      <c r="R79"/>
      <c r="S79"/>
      <c r="T79"/>
      <c r="U79"/>
      <c r="V79"/>
      <c r="W79"/>
    </row>
    <row r="80" spans="2:28" x14ac:dyDescent="0.35">
      <c r="B80" s="66">
        <v>47058</v>
      </c>
      <c r="C80" s="67">
        <v>47362</v>
      </c>
      <c r="D80" s="76">
        <v>1200000</v>
      </c>
      <c r="F80" s="72">
        <v>47239</v>
      </c>
      <c r="H80" s="55"/>
      <c r="K80" s="130" t="str" cm="1">
        <f t="array" ref="K80:L105">fx.DebtSizeIssueλ()</f>
        <v>FUNCTION:</v>
      </c>
      <c r="L80" t="str">
        <v>fx.DebtSizeIssueλ(CFADS, DSCR, COUPON, DBTRSVPCT,</v>
      </c>
      <c r="M80"/>
      <c r="N80"/>
      <c r="O80"/>
      <c r="P80"/>
      <c r="Q80"/>
      <c r="R80"/>
      <c r="S80"/>
      <c r="T80"/>
      <c r="U80"/>
      <c r="V80"/>
      <c r="W80"/>
    </row>
    <row r="81" spans="2:23" x14ac:dyDescent="0.35">
      <c r="B81" s="66">
        <v>47088</v>
      </c>
      <c r="C81" s="67">
        <v>47392</v>
      </c>
      <c r="D81" s="76">
        <v>1200000</v>
      </c>
      <c r="F81" s="72">
        <v>47270</v>
      </c>
      <c r="H81" s="55"/>
      <c r="K81" s="130" t="str">
        <v/>
      </c>
      <c r="L81" t="str">
        <v>DBTRSVRATE, ParValueIncr, MONTHS, [MATURITY],</v>
      </c>
      <c r="M81"/>
      <c r="N81"/>
      <c r="O81"/>
      <c r="P81"/>
      <c r="Q81"/>
      <c r="R81"/>
      <c r="S81"/>
      <c r="T81"/>
      <c r="U81"/>
      <c r="V81"/>
      <c r="W81"/>
    </row>
    <row r="82" spans="2:23" x14ac:dyDescent="0.35">
      <c r="B82" s="66">
        <v>47119</v>
      </c>
      <c r="C82" s="67">
        <v>47423</v>
      </c>
      <c r="D82" s="76">
        <v>1200000</v>
      </c>
      <c r="F82" s="72">
        <v>47300</v>
      </c>
      <c r="H82" s="55"/>
      <c r="K82" s="130" t="str">
        <v/>
      </c>
      <c r="L82" t="str">
        <v>[LastPayoffDate])</v>
      </c>
      <c r="M82"/>
      <c r="N82"/>
      <c r="O82"/>
      <c r="P82"/>
      <c r="Q82"/>
      <c r="R82"/>
      <c r="S82"/>
      <c r="T82"/>
      <c r="U82"/>
      <c r="V82"/>
      <c r="W82"/>
    </row>
    <row r="83" spans="2:23" x14ac:dyDescent="0.35">
      <c r="B83" s="66">
        <v>47150</v>
      </c>
      <c r="C83" s="67">
        <v>47453</v>
      </c>
      <c r="D83" s="76">
        <v>1200000</v>
      </c>
      <c r="F83" s="72">
        <v>47331</v>
      </c>
      <c r="H83" s="55"/>
      <c r="K83" s="130" t="str">
        <v>DESCRIPTION:</v>
      </c>
      <c r="L83" t="str">
        <v>Sizes a new serial debt issuance to a coverage test</v>
      </c>
      <c r="V83"/>
      <c r="W83"/>
    </row>
    <row r="84" spans="2:23" x14ac:dyDescent="0.35">
      <c r="B84" s="66">
        <v>47178</v>
      </c>
      <c r="C84" s="67">
        <v>47484</v>
      </c>
      <c r="D84" s="76">
        <v>1200000</v>
      </c>
      <c r="F84" s="72">
        <v>47362</v>
      </c>
      <c r="H84" s="55"/>
      <c r="K84" t="str">
        <v/>
      </c>
      <c r="L84" t="str">
        <v>Par is an OUTPUT - the sum of the sized maturities</v>
      </c>
      <c r="M84"/>
      <c r="N84"/>
      <c r="O84"/>
      <c r="P84"/>
      <c r="Q84"/>
      <c r="R84"/>
      <c r="S84"/>
      <c r="T84"/>
      <c r="U84"/>
      <c r="V84"/>
      <c r="W84"/>
    </row>
    <row r="85" spans="2:23" x14ac:dyDescent="0.35">
      <c r="B85" s="66">
        <v>47209</v>
      </c>
      <c r="C85" s="67">
        <v>47515</v>
      </c>
      <c r="D85" s="76">
        <v>1200000</v>
      </c>
      <c r="F85" s="72">
        <v>47392</v>
      </c>
      <c r="H85" s="55"/>
      <c r="K85" t="str">
        <v>WEBPAGE:</v>
      </c>
      <c r="L85" t="str">
        <v>github.com/wfphillips128/debt-size-issue-lambda</v>
      </c>
      <c r="M85"/>
      <c r="N85"/>
      <c r="O85"/>
      <c r="P85"/>
      <c r="Q85"/>
      <c r="R85"/>
      <c r="S85"/>
      <c r="T85"/>
      <c r="U85"/>
      <c r="V85"/>
      <c r="W85"/>
    </row>
    <row r="86" spans="2:23" x14ac:dyDescent="0.35">
      <c r="B86" s="66">
        <v>47239</v>
      </c>
      <c r="C86" s="67">
        <v>47543</v>
      </c>
      <c r="D86" s="76">
        <v>1200000</v>
      </c>
      <c r="F86" s="72">
        <v>47423</v>
      </c>
      <c r="H86" s="55"/>
      <c r="K86" t="str">
        <v>SUGGESTED ROW IDS:</v>
      </c>
      <c r="L86" t="str">
        <v>Debt opening balance / Interest / Principal repaid /</v>
      </c>
      <c r="M86"/>
      <c r="N86"/>
      <c r="O86"/>
      <c r="P86"/>
      <c r="Q86"/>
      <c r="R86"/>
      <c r="S86"/>
      <c r="T86"/>
      <c r="U86"/>
      <c r="V86"/>
      <c r="W86"/>
    </row>
    <row r="87" spans="2:23" x14ac:dyDescent="0.35">
      <c r="B87" s="66">
        <v>47270</v>
      </c>
      <c r="C87" s="67">
        <v>47574</v>
      </c>
      <c r="D87" s="76">
        <v>1200000</v>
      </c>
      <c r="F87" s="72">
        <v>47453</v>
      </c>
      <c r="H87" s="55"/>
      <c r="K87" t="str">
        <v/>
      </c>
      <c r="L87" t="str">
        <v>Debt closing balance / Debt service / Reserve credit /</v>
      </c>
      <c r="M87"/>
      <c r="N87"/>
      <c r="O87"/>
      <c r="P87"/>
      <c r="Q87"/>
      <c r="R87"/>
      <c r="S87"/>
      <c r="T87"/>
      <c r="U87"/>
      <c r="V87"/>
      <c r="W87"/>
    </row>
    <row r="88" spans="2:23" x14ac:dyDescent="0.35">
      <c r="B88" s="66">
        <v>47300</v>
      </c>
      <c r="C88" s="67">
        <v>47604</v>
      </c>
      <c r="D88" s="76">
        <v>1200000</v>
      </c>
      <c r="F88" s="72">
        <v>47484</v>
      </c>
      <c r="H88" s="55"/>
      <c r="K88" t="str">
        <v/>
      </c>
      <c r="L88" t="str">
        <v>Net debt service</v>
      </c>
      <c r="M88"/>
      <c r="N88"/>
      <c r="O88"/>
      <c r="P88"/>
      <c r="Q88"/>
      <c r="R88"/>
      <c r="S88"/>
      <c r="T88"/>
      <c r="U88"/>
      <c r="V88"/>
      <c r="W88"/>
    </row>
    <row r="89" spans="2:23" x14ac:dyDescent="0.35">
      <c r="B89" s="66">
        <v>47331</v>
      </c>
      <c r="C89" s="67">
        <v>47635</v>
      </c>
      <c r="D89" s="76">
        <v>1200000</v>
      </c>
      <c r="F89" s="72">
        <v>47515</v>
      </c>
      <c r="H89" s="55"/>
      <c r="K89" t="str">
        <v>VERSION:</v>
      </c>
      <c r="L89" t="str">
        <v>W Phillips, Sep-05-2026</v>
      </c>
      <c r="M89"/>
      <c r="N89"/>
      <c r="O89"/>
      <c r="P89"/>
      <c r="Q89"/>
      <c r="R89"/>
      <c r="S89"/>
      <c r="T89"/>
      <c r="U89"/>
      <c r="V89"/>
      <c r="W89"/>
    </row>
    <row r="90" spans="2:23" x14ac:dyDescent="0.35">
      <c r="B90" s="66">
        <v>47362</v>
      </c>
      <c r="C90" s="67">
        <v>47665</v>
      </c>
      <c r="D90" s="76">
        <v>1200000</v>
      </c>
      <c r="F90" s="72">
        <v>47543</v>
      </c>
      <c r="H90" s="55"/>
      <c r="K90" t="str">
        <v>PARAMETERS:</v>
      </c>
      <c r="L90" t="str">
        <v/>
      </c>
      <c r="M90"/>
      <c r="N90"/>
      <c r="O90"/>
      <c r="P90"/>
      <c r="Q90"/>
      <c r="R90"/>
      <c r="S90"/>
      <c r="T90"/>
      <c r="U90"/>
      <c r="V90"/>
      <c r="W90"/>
    </row>
    <row r="91" spans="2:23" x14ac:dyDescent="0.35">
      <c r="B91" s="66">
        <v>47392</v>
      </c>
      <c r="C91" s="67">
        <v>47696</v>
      </c>
      <c r="D91" s="76">
        <v>1200000</v>
      </c>
      <c r="F91" s="72">
        <v>47574</v>
      </c>
      <c r="H91" s="55"/>
      <c r="K91" t="str">
        <v>CFADS</v>
      </c>
      <c r="L91" t="str">
        <v>(Required) Cash available for debt service, per period</v>
      </c>
      <c r="M91"/>
      <c r="N91"/>
      <c r="O91"/>
      <c r="P91"/>
      <c r="Q91"/>
      <c r="R91"/>
      <c r="S91"/>
      <c r="T91"/>
      <c r="U91"/>
      <c r="V91"/>
      <c r="W91"/>
    </row>
    <row r="92" spans="2:23" x14ac:dyDescent="0.35">
      <c r="B92" s="66">
        <v>47423</v>
      </c>
      <c r="C92" s="67">
        <v>47727</v>
      </c>
      <c r="D92" s="76">
        <v>1200000</v>
      </c>
      <c r="F92" s="72">
        <v>47604</v>
      </c>
      <c r="H92" s="55"/>
      <c r="K92" t="str">
        <v>DSCR</v>
      </c>
      <c r="L92" t="str">
        <v>(Required) Debt service coverage ratio, per period</v>
      </c>
      <c r="M92"/>
      <c r="N92"/>
      <c r="O92"/>
      <c r="P92"/>
      <c r="Q92"/>
      <c r="R92"/>
      <c r="S92"/>
      <c r="T92"/>
      <c r="U92"/>
      <c r="V92"/>
      <c r="W92"/>
    </row>
    <row r="93" spans="2:23" x14ac:dyDescent="0.35">
      <c r="B93" s="66">
        <v>47453</v>
      </c>
      <c r="C93" s="67">
        <v>47757</v>
      </c>
      <c r="D93" s="76">
        <v>1200000</v>
      </c>
      <c r="F93" s="72">
        <v>47635</v>
      </c>
      <c r="H93" s="55"/>
      <c r="K93" t="str">
        <v>COUPON</v>
      </c>
      <c r="L93" t="str">
        <v>(Required) Coupon on the tranche MATURING in each period</v>
      </c>
      <c r="M93"/>
      <c r="N93"/>
      <c r="O93"/>
      <c r="P93"/>
      <c r="Q93"/>
      <c r="R93"/>
      <c r="S93"/>
      <c r="T93"/>
      <c r="U93"/>
      <c r="V93"/>
      <c r="W93"/>
    </row>
    <row r="94" spans="2:23" x14ac:dyDescent="0.35">
      <c r="B94" s="66">
        <v>47484</v>
      </c>
      <c r="C94" s="67">
        <v>47788</v>
      </c>
      <c r="D94" s="76">
        <v>1200000</v>
      </c>
      <c r="F94" s="72">
        <v>47665</v>
      </c>
      <c r="H94" s="55"/>
      <c r="K94" t="str">
        <v/>
      </c>
      <c r="L94" t="str">
        <v>- a curve, not one rate on the balance. Flat is fine.</v>
      </c>
      <c r="M94"/>
      <c r="N94"/>
      <c r="O94"/>
      <c r="P94"/>
      <c r="Q94"/>
      <c r="R94"/>
      <c r="S94"/>
      <c r="T94"/>
      <c r="U94"/>
      <c r="V94"/>
      <c r="W94"/>
    </row>
    <row r="95" spans="2:23" x14ac:dyDescent="0.35">
      <c r="B95" s="66">
        <v>47515</v>
      </c>
      <c r="C95" s="67">
        <v>47818</v>
      </c>
      <c r="D95" s="76">
        <v>1200000</v>
      </c>
      <c r="F95" s="72">
        <v>47696</v>
      </c>
      <c r="H95" s="55"/>
      <c r="K95" t="str">
        <v>DBTRSVPCT</v>
      </c>
      <c r="L95" t="str">
        <v>(Required) Reserve as a % of MAXIMUM ANNUAL debt service</v>
      </c>
      <c r="M95"/>
      <c r="N95"/>
      <c r="O95"/>
      <c r="P95"/>
      <c r="Q95"/>
      <c r="R95"/>
      <c r="S95"/>
      <c r="T95"/>
      <c r="U95"/>
      <c r="V95"/>
      <c r="W95"/>
    </row>
    <row r="96" spans="2:23" x14ac:dyDescent="0.35">
      <c r="B96" s="66">
        <v>47543</v>
      </c>
      <c r="C96" s="67">
        <v>47849</v>
      </c>
      <c r="D96" s="76">
        <v>1200000</v>
      </c>
      <c r="F96" s="72">
        <v>47727</v>
      </c>
      <c r="H96" s="55"/>
      <c r="K96" t="str">
        <v/>
      </c>
      <c r="L96" t="str">
        <v>25% is a 3-of-12-months reserve. The largest is used.</v>
      </c>
      <c r="M96"/>
      <c r="N96"/>
      <c r="O96"/>
      <c r="P96"/>
      <c r="Q96"/>
      <c r="R96"/>
      <c r="S96"/>
      <c r="T96"/>
      <c r="U96"/>
      <c r="V96"/>
      <c r="W96"/>
    </row>
    <row r="97" spans="2:23" x14ac:dyDescent="0.35">
      <c r="B97" s="66">
        <v>47574</v>
      </c>
      <c r="C97" s="67">
        <v>47880</v>
      </c>
      <c r="D97" s="76">
        <v>1200000</v>
      </c>
      <c r="F97" s="72">
        <v>47757</v>
      </c>
      <c r="H97" s="55"/>
      <c r="K97" t="str">
        <v>DBTRSVRATE</v>
      </c>
      <c r="L97" t="str">
        <v>(Required) Earnings rate credited on the reserve</v>
      </c>
      <c r="M97"/>
      <c r="N97"/>
      <c r="O97"/>
      <c r="P97"/>
      <c r="Q97"/>
      <c r="R97"/>
      <c r="S97"/>
      <c r="T97"/>
      <c r="U97"/>
      <c r="V97"/>
      <c r="W97"/>
    </row>
    <row r="98" spans="2:23" x14ac:dyDescent="0.35">
      <c r="B98" s="66">
        <v>47604</v>
      </c>
      <c r="C98" s="67">
        <v>47908</v>
      </c>
      <c r="D98" s="76">
        <v>1200000</v>
      </c>
      <c r="F98" s="72">
        <v>47788</v>
      </c>
      <c r="H98" s="55"/>
      <c r="K98" t="str">
        <v>ParValueIncr</v>
      </c>
      <c r="L98" t="str">
        <v>(Required) Par rounding increment. 1 = none. Never 0.</v>
      </c>
      <c r="M98"/>
      <c r="N98"/>
      <c r="O98"/>
      <c r="P98"/>
      <c r="Q98"/>
      <c r="R98"/>
      <c r="S98"/>
      <c r="T98"/>
      <c r="U98"/>
      <c r="V98"/>
      <c r="W98"/>
    </row>
    <row r="99" spans="2:23" x14ac:dyDescent="0.35">
      <c r="B99" s="66">
        <v>47635</v>
      </c>
      <c r="C99" s="67">
        <v>47939</v>
      </c>
      <c r="D99" s="76">
        <v>1200000</v>
      </c>
      <c r="F99" s="72">
        <v>47818</v>
      </c>
      <c r="H99" s="55"/>
      <c r="K99" t="str">
        <v>MONTHS</v>
      </c>
      <c r="L99" t="str">
        <v>(Required) Months of interest per period, eg. 10,12,12</v>
      </c>
      <c r="M99"/>
      <c r="N99"/>
      <c r="O99"/>
      <c r="P99"/>
      <c r="Q99"/>
      <c r="R99"/>
      <c r="S99"/>
      <c r="T99"/>
      <c r="U99"/>
      <c r="V99"/>
      <c r="W99"/>
    </row>
    <row r="100" spans="2:23" x14ac:dyDescent="0.35">
      <c r="B100" s="66">
        <v>47665</v>
      </c>
      <c r="C100" s="67">
        <v>47969</v>
      </c>
      <c r="D100" s="76">
        <v>1200000</v>
      </c>
      <c r="F100" s="72">
        <v>47849</v>
      </c>
      <c r="H100" s="55"/>
      <c r="J100"/>
      <c r="K100" t="str">
        <v>MATURITY</v>
      </c>
      <c r="L100" t="str">
        <v>(Optional) Maturity date of each period's tranche</v>
      </c>
      <c r="M100"/>
      <c r="N100"/>
      <c r="O100"/>
      <c r="P100"/>
      <c r="Q100"/>
      <c r="R100"/>
      <c r="S100"/>
      <c r="T100"/>
      <c r="U100"/>
      <c r="V100"/>
      <c r="W100"/>
    </row>
    <row r="101" spans="2:23" x14ac:dyDescent="0.35">
      <c r="B101" s="66">
        <v>47696</v>
      </c>
      <c r="C101" s="67">
        <v>48000</v>
      </c>
      <c r="D101" s="76">
        <v>1200000</v>
      </c>
      <c r="F101" s="72">
        <v>47880</v>
      </c>
      <c r="H101" s="55"/>
      <c r="J101"/>
      <c r="K101" t="str">
        <v>LastPayoffDate</v>
      </c>
      <c r="L101" t="str">
        <v>(Optional) Last date a maturity may fall on. Periods</v>
      </c>
      <c r="M101"/>
      <c r="N101"/>
      <c r="O101"/>
      <c r="P101"/>
      <c r="Q101"/>
      <c r="R101"/>
      <c r="S101"/>
      <c r="T101"/>
      <c r="U101"/>
      <c r="V101"/>
      <c r="W101"/>
    </row>
    <row r="102" spans="2:23" x14ac:dyDescent="0.35">
      <c r="B102" s="66">
        <v>47727</v>
      </c>
      <c r="C102" s="67">
        <v>48030</v>
      </c>
      <c r="D102" s="76">
        <v>1200000</v>
      </c>
      <c r="F102" s="72">
        <v>47908</v>
      </c>
      <c r="H102" s="55"/>
      <c r="J102"/>
      <c r="K102" t="str">
        <v/>
      </c>
      <c r="L102" t="str">
        <v>after it are not sized; the reserve releases at the last live one.</v>
      </c>
      <c r="M102"/>
      <c r="N102"/>
      <c r="O102"/>
      <c r="P102"/>
      <c r="Q102"/>
      <c r="R102"/>
      <c r="S102"/>
      <c r="T102"/>
      <c r="U102"/>
      <c r="V102"/>
      <c r="W102"/>
    </row>
    <row r="103" spans="2:23" x14ac:dyDescent="0.35">
      <c r="B103" s="66">
        <v>47757</v>
      </c>
      <c r="C103" s="67">
        <v>48061</v>
      </c>
      <c r="D103" s="76">
        <v>1200000</v>
      </c>
      <c r="F103" s="72">
        <v>47939</v>
      </c>
      <c r="H103" s="55"/>
      <c r="J103"/>
      <c r="K103" t="str">
        <v>Lo, Hi, Iter</v>
      </c>
      <c r="L103" t="str">
        <v>Internal - the bisection solver's state</v>
      </c>
      <c r="M103"/>
      <c r="N103"/>
      <c r="O103"/>
      <c r="P103"/>
      <c r="Q103"/>
      <c r="R103"/>
      <c r="S103"/>
      <c r="T103"/>
      <c r="U103"/>
      <c r="V103"/>
      <c r="W103"/>
    </row>
    <row r="104" spans="2:23" x14ac:dyDescent="0.35">
      <c r="B104" s="66">
        <v>47788</v>
      </c>
      <c r="C104" s="67">
        <v>48092</v>
      </c>
      <c r="D104" s="76">
        <v>1200000</v>
      </c>
      <c r="F104" s="72">
        <v>47969</v>
      </c>
      <c r="H104" s="55"/>
      <c r="J104"/>
      <c r="K104" t="str">
        <v/>
      </c>
      <c r="L104" t="str">
        <v/>
      </c>
      <c r="M104"/>
      <c r="N104"/>
      <c r="O104"/>
      <c r="P104"/>
      <c r="Q104"/>
      <c r="R104"/>
      <c r="S104"/>
      <c r="T104"/>
      <c r="U104"/>
      <c r="V104"/>
      <c r="W104"/>
    </row>
    <row r="105" spans="2:23" x14ac:dyDescent="0.35">
      <c r="B105" s="66">
        <v>47818</v>
      </c>
      <c r="C105" s="67">
        <v>48122</v>
      </c>
      <c r="D105" s="76">
        <v>1200000</v>
      </c>
      <c r="F105" s="72">
        <v>48000</v>
      </c>
      <c r="H105" s="55"/>
      <c r="J105"/>
      <c r="K105" t="str">
        <v>EXAMPLE:</v>
      </c>
      <c r="L105" t="str">
        <v>=fx.DebtSizeIssueλ(M59#,M60#,M61#,M62#,M63#,M64#,M65#,M58#,PayoffDate)</v>
      </c>
      <c r="M105"/>
      <c r="N105"/>
      <c r="O105"/>
      <c r="P105"/>
      <c r="Q105"/>
      <c r="R105"/>
      <c r="S105"/>
      <c r="T105"/>
      <c r="U105"/>
      <c r="V105"/>
      <c r="W105"/>
    </row>
    <row r="106" spans="2:23" x14ac:dyDescent="0.35">
      <c r="B106" s="66">
        <v>47849</v>
      </c>
      <c r="C106" s="67">
        <v>48153</v>
      </c>
      <c r="D106" s="76">
        <v>1200000</v>
      </c>
      <c r="F106" s="72">
        <v>48030</v>
      </c>
      <c r="H106" s="55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2:23" x14ac:dyDescent="0.35">
      <c r="B107" s="66">
        <v>47880</v>
      </c>
      <c r="C107" s="67">
        <v>48183</v>
      </c>
      <c r="D107" s="76">
        <v>1200000</v>
      </c>
      <c r="F107" s="72">
        <v>48061</v>
      </c>
      <c r="H107" s="55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2:23" x14ac:dyDescent="0.35">
      <c r="B108" s="66">
        <v>47908</v>
      </c>
      <c r="C108" s="67">
        <v>48214</v>
      </c>
      <c r="D108" s="76">
        <v>1200000</v>
      </c>
      <c r="F108" s="72">
        <v>48092</v>
      </c>
      <c r="H108" s="55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2:23" x14ac:dyDescent="0.35">
      <c r="B109" s="66">
        <v>47939</v>
      </c>
      <c r="C109" s="67">
        <v>48245</v>
      </c>
      <c r="D109" s="76">
        <v>1200000</v>
      </c>
      <c r="F109" s="72">
        <v>48122</v>
      </c>
      <c r="H109" s="55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2:23" x14ac:dyDescent="0.35">
      <c r="B110" s="66">
        <v>47969</v>
      </c>
      <c r="C110" s="67">
        <v>48274</v>
      </c>
      <c r="D110" s="76">
        <v>1200000</v>
      </c>
      <c r="F110" s="72">
        <v>48153</v>
      </c>
      <c r="H110" s="55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2:23" x14ac:dyDescent="0.35">
      <c r="B111" s="66">
        <v>48000</v>
      </c>
      <c r="C111" s="67">
        <v>48305</v>
      </c>
      <c r="D111" s="76">
        <v>1200000</v>
      </c>
      <c r="F111" s="72">
        <v>48183</v>
      </c>
      <c r="H111" s="55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2:23" x14ac:dyDescent="0.35">
      <c r="B112" s="66">
        <v>48030</v>
      </c>
      <c r="C112" s="67">
        <v>48335</v>
      </c>
      <c r="D112" s="76">
        <v>1200000</v>
      </c>
      <c r="F112" s="72">
        <v>48214</v>
      </c>
      <c r="H112" s="55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2:23" x14ac:dyDescent="0.35">
      <c r="B113" s="66">
        <v>48061</v>
      </c>
      <c r="C113" s="67">
        <v>48366</v>
      </c>
      <c r="D113" s="76">
        <v>1200000</v>
      </c>
      <c r="F113" s="72">
        <v>48245</v>
      </c>
      <c r="H113" s="55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2:23" x14ac:dyDescent="0.35">
      <c r="B114" s="66">
        <v>48092</v>
      </c>
      <c r="C114" s="67">
        <v>48396</v>
      </c>
      <c r="D114" s="76">
        <v>1200000</v>
      </c>
      <c r="F114" s="72">
        <v>48274</v>
      </c>
      <c r="H114" s="55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2:23" x14ac:dyDescent="0.35">
      <c r="B115" s="66">
        <v>48122</v>
      </c>
      <c r="C115" s="67">
        <v>48427</v>
      </c>
      <c r="D115" s="76">
        <v>1200000</v>
      </c>
      <c r="F115" s="72">
        <v>48305</v>
      </c>
      <c r="H115" s="5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2:23" x14ac:dyDescent="0.35">
      <c r="B116" s="66">
        <v>48153</v>
      </c>
      <c r="C116" s="67">
        <v>48458</v>
      </c>
      <c r="D116" s="76">
        <v>1200000</v>
      </c>
      <c r="F116" s="72">
        <v>48335</v>
      </c>
      <c r="H116" s="55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2:23" x14ac:dyDescent="0.35">
      <c r="B117" s="66">
        <v>48183</v>
      </c>
      <c r="C117" s="67">
        <v>48488</v>
      </c>
      <c r="D117" s="76">
        <v>1200000</v>
      </c>
      <c r="F117" s="72">
        <v>48366</v>
      </c>
      <c r="H117" s="55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2:23" x14ac:dyDescent="0.35">
      <c r="B118" s="66">
        <v>48214</v>
      </c>
      <c r="C118" s="67">
        <v>48519</v>
      </c>
      <c r="D118" s="76">
        <v>1200000</v>
      </c>
      <c r="F118" s="72">
        <v>48396</v>
      </c>
      <c r="H118" s="55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2:23" x14ac:dyDescent="0.35">
      <c r="B119" s="66">
        <v>48245</v>
      </c>
      <c r="C119" s="67">
        <v>48549</v>
      </c>
      <c r="D119" s="76">
        <v>1200000</v>
      </c>
      <c r="F119" s="72">
        <v>48427</v>
      </c>
      <c r="H119" s="55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2:23" x14ac:dyDescent="0.35">
      <c r="B120" s="66">
        <v>48274</v>
      </c>
      <c r="C120" s="67">
        <v>48580</v>
      </c>
      <c r="D120" s="76">
        <v>1200000</v>
      </c>
      <c r="F120" s="72">
        <v>48458</v>
      </c>
      <c r="H120" s="55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2:23" x14ac:dyDescent="0.35">
      <c r="B121" s="66">
        <v>48305</v>
      </c>
      <c r="C121" s="67">
        <v>48611</v>
      </c>
      <c r="D121" s="76">
        <v>1200000</v>
      </c>
      <c r="F121" s="72">
        <v>48488</v>
      </c>
      <c r="H121" s="55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2:23" x14ac:dyDescent="0.35">
      <c r="B122" s="66">
        <v>48335</v>
      </c>
      <c r="C122" s="67">
        <v>48639</v>
      </c>
      <c r="D122" s="76">
        <v>1200000</v>
      </c>
      <c r="F122" s="72">
        <v>48519</v>
      </c>
      <c r="H122" s="55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2:23" x14ac:dyDescent="0.35">
      <c r="B123" s="66">
        <v>48366</v>
      </c>
      <c r="C123" s="67">
        <v>48670</v>
      </c>
      <c r="D123" s="76">
        <v>1200000</v>
      </c>
      <c r="F123" s="72">
        <v>48549</v>
      </c>
      <c r="H123" s="55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2:23" x14ac:dyDescent="0.35">
      <c r="B124" s="66">
        <v>48396</v>
      </c>
      <c r="C124" s="67">
        <v>48700</v>
      </c>
      <c r="D124" s="76">
        <v>1200000</v>
      </c>
      <c r="F124" s="72">
        <v>48580</v>
      </c>
      <c r="H124" s="55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2:23" x14ac:dyDescent="0.35">
      <c r="B125" s="66">
        <v>48427</v>
      </c>
      <c r="C125" s="67">
        <v>48731</v>
      </c>
      <c r="D125" s="76">
        <v>1200000</v>
      </c>
      <c r="F125" s="72">
        <v>48611</v>
      </c>
      <c r="H125" s="5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2:23" x14ac:dyDescent="0.35">
      <c r="B126" s="66">
        <v>48458</v>
      </c>
      <c r="C126" s="67">
        <v>48761</v>
      </c>
      <c r="D126" s="76">
        <v>1200000</v>
      </c>
      <c r="F126" s="72">
        <v>48639</v>
      </c>
      <c r="H126" s="55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2:23" x14ac:dyDescent="0.35">
      <c r="B127" s="66">
        <v>48488</v>
      </c>
      <c r="C127" s="67">
        <v>48792</v>
      </c>
      <c r="D127" s="76">
        <v>1200000</v>
      </c>
      <c r="F127" s="72">
        <v>48670</v>
      </c>
      <c r="H127" s="55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2:23" x14ac:dyDescent="0.35">
      <c r="B128" s="66">
        <v>48519</v>
      </c>
      <c r="C128" s="67">
        <v>48823</v>
      </c>
      <c r="D128" s="76">
        <v>1200000</v>
      </c>
      <c r="F128" s="72">
        <v>48700</v>
      </c>
      <c r="H128" s="55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2:24" x14ac:dyDescent="0.35">
      <c r="B129" s="66">
        <v>48549</v>
      </c>
      <c r="C129" s="67">
        <v>48853</v>
      </c>
      <c r="D129" s="76">
        <v>1200000</v>
      </c>
      <c r="F129" s="72">
        <v>48731</v>
      </c>
      <c r="H129" s="55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2:24" x14ac:dyDescent="0.35">
      <c r="B130" s="66">
        <v>48580</v>
      </c>
      <c r="C130" s="67">
        <v>48884</v>
      </c>
      <c r="D130" s="76">
        <v>1200000</v>
      </c>
      <c r="F130" s="72">
        <v>48761</v>
      </c>
      <c r="H130" s="55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 s="101"/>
    </row>
    <row r="131" spans="2:24" x14ac:dyDescent="0.35">
      <c r="B131" s="66">
        <v>48611</v>
      </c>
      <c r="C131" s="67">
        <v>48914</v>
      </c>
      <c r="D131" s="76">
        <v>1200000</v>
      </c>
      <c r="F131" s="72">
        <v>48792</v>
      </c>
      <c r="H131" s="55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s="101"/>
    </row>
    <row r="132" spans="2:24" x14ac:dyDescent="0.35">
      <c r="B132" s="66">
        <v>48639</v>
      </c>
      <c r="C132" s="67">
        <v>48945</v>
      </c>
      <c r="D132" s="76">
        <v>1200000</v>
      </c>
      <c r="F132" s="72">
        <v>48823</v>
      </c>
      <c r="H132" s="55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 s="102"/>
    </row>
    <row r="133" spans="2:24" x14ac:dyDescent="0.35">
      <c r="B133" s="66">
        <v>48670</v>
      </c>
      <c r="C133" s="67">
        <v>48976</v>
      </c>
      <c r="D133" s="76">
        <v>1200000</v>
      </c>
      <c r="F133" s="72">
        <v>48853</v>
      </c>
      <c r="H133" s="55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2:24" x14ac:dyDescent="0.35">
      <c r="B134" s="66">
        <v>48700</v>
      </c>
      <c r="C134" s="67">
        <v>49004</v>
      </c>
      <c r="D134" s="76">
        <v>1200000</v>
      </c>
      <c r="F134" s="72">
        <v>48884</v>
      </c>
      <c r="H134" s="55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s="101"/>
    </row>
    <row r="135" spans="2:24" x14ac:dyDescent="0.35">
      <c r="B135" s="66">
        <v>48731</v>
      </c>
      <c r="C135" s="67">
        <v>49035</v>
      </c>
      <c r="D135" s="76">
        <v>1200000</v>
      </c>
      <c r="F135" s="72">
        <v>48914</v>
      </c>
      <c r="H135" s="5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s="101"/>
    </row>
    <row r="136" spans="2:24" x14ac:dyDescent="0.35">
      <c r="B136" s="66">
        <v>48761</v>
      </c>
      <c r="C136" s="67">
        <v>49065</v>
      </c>
      <c r="D136" s="76">
        <v>1200000</v>
      </c>
      <c r="F136" s="72">
        <v>48945</v>
      </c>
      <c r="H136" s="55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2:24" x14ac:dyDescent="0.35">
      <c r="B137" s="66">
        <v>48792</v>
      </c>
      <c r="C137" s="67">
        <v>49096</v>
      </c>
      <c r="D137" s="76">
        <v>1200000</v>
      </c>
      <c r="F137" s="72"/>
      <c r="H137" s="55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2:24" x14ac:dyDescent="0.35">
      <c r="B138" s="66">
        <v>48823</v>
      </c>
      <c r="C138" s="67">
        <v>49126</v>
      </c>
      <c r="D138" s="76">
        <v>1200000</v>
      </c>
      <c r="F138" s="72"/>
      <c r="H138" s="55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2:24" x14ac:dyDescent="0.35">
      <c r="B139" s="66">
        <v>48853</v>
      </c>
      <c r="C139" s="67">
        <v>49157</v>
      </c>
      <c r="D139" s="76">
        <v>1200000</v>
      </c>
      <c r="F139" s="72"/>
      <c r="H139" s="55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2:24" x14ac:dyDescent="0.35">
      <c r="B140" s="66">
        <v>48884</v>
      </c>
      <c r="C140" s="67">
        <v>49188</v>
      </c>
      <c r="D140" s="76">
        <v>1200000</v>
      </c>
      <c r="F140" s="72"/>
      <c r="H140" s="55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2:24" x14ac:dyDescent="0.35">
      <c r="B141" s="66">
        <v>48914</v>
      </c>
      <c r="C141" s="67">
        <v>49218</v>
      </c>
      <c r="D141" s="76">
        <v>1200000</v>
      </c>
      <c r="F141" s="72"/>
      <c r="H141" s="55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2:24" x14ac:dyDescent="0.35">
      <c r="B142" s="66">
        <v>48945</v>
      </c>
      <c r="C142" s="67">
        <v>49249</v>
      </c>
      <c r="D142" s="76">
        <v>1200000</v>
      </c>
      <c r="F142" s="72"/>
      <c r="H142" s="55"/>
      <c r="I142" s="10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 s="101"/>
    </row>
    <row r="143" spans="2:24" x14ac:dyDescent="0.35">
      <c r="B143" s="66">
        <v>48976</v>
      </c>
      <c r="C143" s="67">
        <v>49279</v>
      </c>
      <c r="D143" s="76">
        <v>1200000</v>
      </c>
      <c r="F143" s="72"/>
      <c r="H143" s="55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 s="101"/>
    </row>
    <row r="144" spans="2:24" x14ac:dyDescent="0.35">
      <c r="B144" s="66">
        <v>49004</v>
      </c>
      <c r="C144" s="67">
        <v>49310</v>
      </c>
      <c r="D144" s="76">
        <v>1200000</v>
      </c>
      <c r="F144" s="72"/>
      <c r="H144" s="55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2:23" x14ac:dyDescent="0.35">
      <c r="B145" s="66">
        <v>49035</v>
      </c>
      <c r="C145" s="67">
        <v>49341</v>
      </c>
      <c r="D145" s="76">
        <v>1200000</v>
      </c>
      <c r="F145" s="72"/>
      <c r="H145" s="5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2:23" x14ac:dyDescent="0.35">
      <c r="B146" s="66">
        <v>49065</v>
      </c>
      <c r="C146" s="67">
        <v>49369</v>
      </c>
      <c r="D146" s="76">
        <v>1200000</v>
      </c>
      <c r="F146" s="72"/>
      <c r="H146" s="55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2:23" x14ac:dyDescent="0.35">
      <c r="B147" s="66">
        <v>49096</v>
      </c>
      <c r="C147" s="67">
        <v>49400</v>
      </c>
      <c r="D147" s="76">
        <v>1200000</v>
      </c>
      <c r="F147" s="72"/>
      <c r="H147" s="55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2:23" x14ac:dyDescent="0.35">
      <c r="B148" s="66">
        <v>49126</v>
      </c>
      <c r="C148" s="67">
        <v>49430</v>
      </c>
      <c r="D148" s="76">
        <v>1200000</v>
      </c>
      <c r="F148" s="72"/>
      <c r="H148" s="55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2:23" x14ac:dyDescent="0.35">
      <c r="B149" s="66">
        <v>49157</v>
      </c>
      <c r="C149" s="67">
        <v>49461</v>
      </c>
      <c r="D149" s="76">
        <v>1200000</v>
      </c>
      <c r="F149" s="72"/>
      <c r="H149" s="55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2:23" x14ac:dyDescent="0.35">
      <c r="B150" s="66">
        <v>49188</v>
      </c>
      <c r="C150" s="67">
        <v>49491</v>
      </c>
      <c r="D150" s="76">
        <v>1200000</v>
      </c>
      <c r="F150" s="72"/>
      <c r="H150" s="55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2:23" x14ac:dyDescent="0.35">
      <c r="B151" s="66">
        <v>49218</v>
      </c>
      <c r="C151" s="67">
        <v>49522</v>
      </c>
      <c r="D151" s="76">
        <v>1200000</v>
      </c>
      <c r="F151" s="72"/>
      <c r="H151" s="55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2:23" x14ac:dyDescent="0.35">
      <c r="B152" s="66">
        <v>49249</v>
      </c>
      <c r="C152" s="67">
        <v>49553</v>
      </c>
      <c r="D152" s="76">
        <v>1200000</v>
      </c>
      <c r="F152" s="72"/>
      <c r="H152" s="55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2:23" x14ac:dyDescent="0.35">
      <c r="B153" s="66">
        <v>49279</v>
      </c>
      <c r="C153" s="67">
        <v>49583</v>
      </c>
      <c r="D153" s="148">
        <v>1100000</v>
      </c>
      <c r="E153" s="11"/>
      <c r="F153" s="72"/>
      <c r="H153" s="55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2:23" x14ac:dyDescent="0.35">
      <c r="B154" s="66">
        <v>49310</v>
      </c>
      <c r="C154" s="67">
        <v>49614</v>
      </c>
      <c r="D154" s="148">
        <v>1000000</v>
      </c>
      <c r="E154" s="83"/>
      <c r="F154" s="72"/>
      <c r="H154" s="55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2:23" x14ac:dyDescent="0.35">
      <c r="B155" s="66">
        <v>49341</v>
      </c>
      <c r="C155" s="67">
        <v>49644</v>
      </c>
      <c r="D155" s="76">
        <v>900000</v>
      </c>
      <c r="E155" s="11"/>
      <c r="F155" s="72"/>
      <c r="H155" s="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2:23" x14ac:dyDescent="0.35">
      <c r="B156" s="66">
        <v>49369</v>
      </c>
      <c r="C156" s="67">
        <v>49675</v>
      </c>
      <c r="D156" s="76">
        <v>800000</v>
      </c>
      <c r="E156" s="11"/>
      <c r="F156" s="72"/>
      <c r="H156" s="55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2:23" x14ac:dyDescent="0.35">
      <c r="B157" s="66">
        <v>49400</v>
      </c>
      <c r="C157" s="67">
        <v>49706</v>
      </c>
      <c r="D157" s="76">
        <v>700000</v>
      </c>
      <c r="E157" s="11"/>
      <c r="F157" s="72"/>
      <c r="H157" s="55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2:23" x14ac:dyDescent="0.35">
      <c r="B158" s="66">
        <v>49430</v>
      </c>
      <c r="C158" s="67">
        <v>49735</v>
      </c>
      <c r="D158" s="76">
        <v>600000</v>
      </c>
      <c r="E158" s="11"/>
      <c r="F158" s="72"/>
      <c r="H158" s="55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2:23" x14ac:dyDescent="0.35">
      <c r="B159" s="66">
        <v>49461</v>
      </c>
      <c r="C159" s="67">
        <v>49766</v>
      </c>
      <c r="D159" s="76">
        <v>500000</v>
      </c>
      <c r="E159" s="11"/>
      <c r="F159" s="72"/>
      <c r="H159" s="55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2:23" x14ac:dyDescent="0.35">
      <c r="B160" s="66">
        <v>49491</v>
      </c>
      <c r="C160" s="67">
        <v>49796</v>
      </c>
      <c r="D160" s="76">
        <v>400000</v>
      </c>
      <c r="E160" s="11"/>
      <c r="F160" s="72"/>
      <c r="H160" s="55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2:24" x14ac:dyDescent="0.35">
      <c r="B161" s="66">
        <v>49522</v>
      </c>
      <c r="C161" s="67">
        <v>49827</v>
      </c>
      <c r="D161" s="76">
        <v>300000</v>
      </c>
      <c r="E161" s="11"/>
      <c r="F161" s="72"/>
      <c r="H161" s="55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2:24" x14ac:dyDescent="0.35">
      <c r="B162" s="66">
        <v>49553</v>
      </c>
      <c r="C162" s="67">
        <v>49857</v>
      </c>
      <c r="D162" s="76">
        <v>200000</v>
      </c>
      <c r="E162" s="11"/>
      <c r="F162" s="72"/>
      <c r="H162" s="55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2:24" x14ac:dyDescent="0.35">
      <c r="B163" s="66">
        <v>49583</v>
      </c>
      <c r="C163" s="67">
        <v>49888</v>
      </c>
      <c r="D163" s="76">
        <v>100000</v>
      </c>
      <c r="E163" s="11"/>
      <c r="F163" s="72"/>
      <c r="H163" s="55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2:24" x14ac:dyDescent="0.35">
      <c r="B164" s="66">
        <v>49614</v>
      </c>
      <c r="C164" s="67">
        <v>49919</v>
      </c>
      <c r="D164" s="76">
        <v>0</v>
      </c>
      <c r="F164" s="72"/>
      <c r="H164" s="55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2:24" ht="15" thickBot="1" x14ac:dyDescent="0.4">
      <c r="B165" s="68">
        <v>49644</v>
      </c>
      <c r="C165" s="69">
        <v>49949</v>
      </c>
      <c r="D165" s="76">
        <v>0</v>
      </c>
      <c r="F165" s="73"/>
      <c r="H165" s="5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71" spans="2:24" x14ac:dyDescent="0.35">
      <c r="K171" s="101"/>
      <c r="M171" s="11"/>
      <c r="N171" s="11"/>
      <c r="O171" s="11"/>
      <c r="P171" s="11"/>
      <c r="Q171" s="11"/>
      <c r="R171" s="11"/>
      <c r="S171" s="11"/>
      <c r="T171" s="11"/>
      <c r="U171" s="11"/>
      <c r="V171" s="103"/>
      <c r="W171" s="103"/>
    </row>
    <row r="172" spans="2:24" x14ac:dyDescent="0.35">
      <c r="K172" s="101"/>
      <c r="M172" s="88"/>
      <c r="N172" s="88"/>
      <c r="O172" s="88"/>
      <c r="P172" s="88"/>
      <c r="Q172" s="88"/>
      <c r="R172" s="88"/>
      <c r="S172" s="88"/>
      <c r="T172" s="88"/>
      <c r="U172" s="88"/>
      <c r="W172" s="103"/>
      <c r="X172" s="101"/>
    </row>
    <row r="173" spans="2:24" x14ac:dyDescent="0.35">
      <c r="K173" s="101"/>
      <c r="M173" s="104"/>
      <c r="N173" s="104"/>
      <c r="O173" s="104"/>
      <c r="P173" s="104"/>
      <c r="Q173" s="104"/>
      <c r="R173" s="104"/>
      <c r="S173" s="104"/>
      <c r="T173" s="104"/>
      <c r="U173" s="104"/>
      <c r="W173" s="103"/>
    </row>
    <row r="174" spans="2:24" x14ac:dyDescent="0.35">
      <c r="M174" s="101"/>
    </row>
    <row r="175" spans="2:24" x14ac:dyDescent="0.35">
      <c r="K175" s="101"/>
      <c r="M175" s="11"/>
      <c r="N175" s="11"/>
      <c r="O175" s="11"/>
      <c r="P175" s="11"/>
      <c r="Q175" s="11"/>
      <c r="R175" s="11"/>
      <c r="S175" s="11"/>
      <c r="T175" s="11"/>
      <c r="U175" s="11"/>
      <c r="W175" s="103"/>
    </row>
    <row r="176" spans="2:24" x14ac:dyDescent="0.35">
      <c r="K176" s="101"/>
      <c r="M176" s="88"/>
      <c r="N176" s="88"/>
      <c r="O176" s="88"/>
      <c r="P176" s="88"/>
      <c r="Q176" s="88"/>
      <c r="R176" s="88"/>
      <c r="S176" s="88"/>
      <c r="T176" s="88"/>
      <c r="U176" s="88"/>
      <c r="W176" s="103"/>
      <c r="X176" s="101"/>
    </row>
    <row r="177" spans="11:24" x14ac:dyDescent="0.35">
      <c r="K177" s="101"/>
      <c r="M177" s="11"/>
      <c r="N177" s="11"/>
      <c r="O177" s="11"/>
      <c r="P177" s="11"/>
      <c r="Q177" s="11"/>
      <c r="R177" s="11"/>
      <c r="S177" s="11"/>
      <c r="T177" s="11"/>
      <c r="U177" s="11"/>
      <c r="W177" s="103"/>
    </row>
    <row r="179" spans="11:24" x14ac:dyDescent="0.35">
      <c r="K179" s="101"/>
      <c r="M179" s="11"/>
      <c r="N179" s="11"/>
      <c r="O179" s="11"/>
      <c r="P179" s="11"/>
      <c r="Q179" s="11"/>
      <c r="R179" s="11"/>
      <c r="S179" s="11"/>
      <c r="T179" s="11"/>
      <c r="U179" s="11"/>
      <c r="W179" s="103"/>
    </row>
    <row r="180" spans="11:24" x14ac:dyDescent="0.35">
      <c r="K180" s="101"/>
      <c r="M180" s="88"/>
      <c r="N180" s="88"/>
      <c r="O180" s="88"/>
      <c r="P180" s="88"/>
      <c r="Q180" s="88"/>
      <c r="R180" s="88"/>
      <c r="S180" s="88"/>
      <c r="T180" s="88"/>
      <c r="U180" s="88"/>
      <c r="W180" s="103"/>
    </row>
    <row r="181" spans="11:24" x14ac:dyDescent="0.35">
      <c r="K181" s="101"/>
      <c r="M181" s="104"/>
      <c r="N181" s="104"/>
      <c r="O181" s="104"/>
      <c r="P181" s="104"/>
      <c r="Q181" s="104"/>
      <c r="R181" s="104"/>
      <c r="S181" s="104"/>
      <c r="T181" s="104"/>
      <c r="U181" s="104"/>
      <c r="W181" s="103"/>
    </row>
    <row r="183" spans="11:24" x14ac:dyDescent="0.35">
      <c r="K183" s="101"/>
      <c r="M183" s="11"/>
      <c r="N183" s="11"/>
      <c r="O183" s="11"/>
      <c r="P183" s="11"/>
      <c r="Q183" s="11"/>
      <c r="R183" s="11"/>
      <c r="S183" s="11"/>
      <c r="T183" s="11"/>
      <c r="U183" s="11"/>
      <c r="W183" s="103"/>
    </row>
    <row r="184" spans="11:24" x14ac:dyDescent="0.35">
      <c r="K184" s="101"/>
      <c r="W184" s="103"/>
      <c r="X184" s="101"/>
    </row>
    <row r="185" spans="11:24" x14ac:dyDescent="0.35">
      <c r="K185" s="101"/>
      <c r="M185" s="104"/>
      <c r="N185" s="104"/>
      <c r="O185" s="104"/>
      <c r="P185" s="104"/>
      <c r="Q185" s="104"/>
      <c r="R185" s="104"/>
      <c r="S185" s="104"/>
      <c r="T185" s="104"/>
      <c r="U185" s="104"/>
      <c r="W185" s="103"/>
    </row>
    <row r="187" spans="11:24" x14ac:dyDescent="0.35">
      <c r="K187" s="101"/>
      <c r="M187" s="11"/>
      <c r="N187" s="11"/>
      <c r="O187" s="11"/>
      <c r="P187" s="11"/>
      <c r="Q187" s="11"/>
      <c r="R187" s="11"/>
      <c r="S187" s="11"/>
      <c r="T187" s="11"/>
      <c r="U187" s="11"/>
      <c r="W187" s="103"/>
    </row>
    <row r="188" spans="11:24" x14ac:dyDescent="0.35">
      <c r="K188" s="101"/>
      <c r="W188" s="103"/>
      <c r="X188" s="101"/>
    </row>
    <row r="189" spans="11:24" x14ac:dyDescent="0.35">
      <c r="K189" s="101"/>
      <c r="M189" s="104"/>
      <c r="N189" s="104"/>
      <c r="O189" s="104"/>
      <c r="P189" s="104"/>
      <c r="Q189" s="104"/>
      <c r="R189" s="104"/>
      <c r="S189" s="104"/>
      <c r="T189" s="104"/>
      <c r="U189" s="104"/>
      <c r="W189" s="103"/>
    </row>
  </sheetData>
  <conditionalFormatting sqref="D8">
    <cfRule type="cellIs" dxfId="0" priority="1" operator="greaterThan">
      <formula>48945</formula>
    </cfRule>
  </conditionalFormatting>
  <dataValidations count="2">
    <dataValidation type="list" allowBlank="1" showInputMessage="1" showErrorMessage="1" sqref="D7" xr:uid="{431CEEFF-35D9-4801-BD36-DDB7E41FFBAD}">
      <formula1>_xlfn.ANCHORARRAY($F$42)</formula1>
    </dataValidation>
    <dataValidation type="list" allowBlank="1" showInputMessage="1" showErrorMessage="1" sqref="D8" xr:uid="{EA21F0E0-DF06-49F9-9902-0819A18FF2C7}">
      <formula1>_xlfn.ANCHORARRAY($F$46)</formula1>
    </dataValidation>
  </dataValidations>
  <pageMargins left="0.7" right="0.7" top="0.75" bottom="0.75" header="0.3" footer="0.3"/>
  <pageSetup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��
</file>

<file path=customXml/itemProps1.xml><?xml version="1.0" encoding="utf-8"?>
<ds:datastoreItem xmlns:ds="http://schemas.openxmlformats.org/officeDocument/2006/customXml" ds:itemID="{BB78641C-517C-4CD9-BBF8-3B5B7DB68D3F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0D55869F-77F2-4645-A918-5D56D0D7C93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b6ce1d3-1230-48ac-a353-0c58a56eaf66}" enabled="0" method="" siteId="{9b6ce1d3-1230-48ac-a353-0c58a56eaf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Bond Model</vt:lpstr>
      <vt:lpstr>BondIssuance</vt:lpstr>
      <vt:lpstr>LastPayoffDate</vt:lpstr>
      <vt:lpstr>MaxDeliveryDate</vt:lpstr>
      <vt:lpstr>MaxPayoffDate</vt:lpstr>
      <vt:lpstr>Num_Periods</vt:lpstr>
      <vt:lpstr>'Bond Model'!Print_Area</vt:lpstr>
      <vt:lpstr>PV_Increment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2026-08-13T00:11:43Z</dcterms:created>
  <dcterms:modified xsi:type="dcterms:W3CDTF">2026-09-05T22:29:59Z</dcterms:modified>
</cp:coreProperties>
</file>